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Override PartName="/xl/charts/colors3.xml" ContentType="application/vnd.ms-office.chartcolorstyle+xml"/>
  <Override PartName="/xl/charts/style3.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13605" windowHeight="8610" activeTab="4"/>
  </bookViews>
  <sheets>
    <sheet name="Channel Cfg Maker" sheetId="15" r:id="rId1"/>
    <sheet name="Mod 5" sheetId="1" r:id="rId2"/>
    <sheet name="Mod 6" sheetId="2" r:id="rId3"/>
    <sheet name="Mod 7" sheetId="3" r:id="rId4"/>
    <sheet name="Mod 8" sheetId="4" r:id="rId5"/>
    <sheet name="Mod 9" sheetId="5" r:id="rId6"/>
    <sheet name="Mod 10" sheetId="6" r:id="rId7"/>
    <sheet name="Mod 11" sheetId="7" r:id="rId8"/>
    <sheet name="Mod 12" sheetId="8" r:id="rId9"/>
    <sheet name="Extension 1" sheetId="16" r:id="rId10"/>
    <sheet name="Calculated Channels" sheetId="9" r:id="rId11"/>
    <sheet name="Calculation for Gas Analzers" sheetId="10" r:id="rId12"/>
    <sheet name="Channel Functions" sheetId="14" r:id="rId13"/>
  </sheets>
  <definedNames>
    <definedName name="_xlnm.Print_Area" localSheetId="9">'Extension 1'!$A$2:$J$26</definedName>
    <definedName name="_xlnm.Print_Area" localSheetId="6">'Mod 10'!$A$1:$D$33</definedName>
    <definedName name="_xlnm.Print_Area" localSheetId="7">'Mod 11'!$A$1:$D$33</definedName>
    <definedName name="_xlnm.Print_Area" localSheetId="8">'Mod 12'!$A$1:$D$33</definedName>
    <definedName name="_xlnm.Print_Area" localSheetId="1">'Mod 5'!$A$1:$D$33</definedName>
    <definedName name="_xlnm.Print_Area" localSheetId="2">'Mod 6'!$A$1:$D$33</definedName>
    <definedName name="_xlnm.Print_Area" localSheetId="3">'Mod 7'!$A$1:$D$33</definedName>
    <definedName name="_xlnm.Print_Area" localSheetId="4">'Mod 8'!$A$1:$D$33</definedName>
    <definedName name="_xlnm.Print_Area" localSheetId="5">'Mod 9'!$A$1:$D$33</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5" i="9" l="1"/>
  <c r="B24" i="9"/>
  <c r="B23" i="9"/>
  <c r="B22" i="9"/>
  <c r="B21" i="9"/>
  <c r="B20" i="9"/>
  <c r="B25" i="9" s="1"/>
  <c r="G19" i="9"/>
  <c r="B18" i="9"/>
  <c r="B17" i="9"/>
  <c r="B16" i="9"/>
  <c r="B15" i="9"/>
  <c r="B14" i="9"/>
  <c r="B19" i="9" s="1"/>
  <c r="G13" i="9"/>
  <c r="B12" i="9"/>
  <c r="B11" i="9"/>
  <c r="B10" i="9"/>
  <c r="B9" i="9"/>
  <c r="B13" i="9" s="1"/>
  <c r="B8" i="9"/>
  <c r="G7" i="9"/>
  <c r="B6" i="9"/>
  <c r="B5" i="9"/>
  <c r="B4" i="9"/>
  <c r="B3" i="9"/>
  <c r="B2" i="9"/>
  <c r="B7" i="9" s="1"/>
  <c r="I31" i="15" l="1"/>
  <c r="I30" i="15"/>
  <c r="I29" i="15"/>
  <c r="I28" i="15"/>
  <c r="I27" i="15"/>
  <c r="I26" i="15"/>
  <c r="I25" i="15"/>
  <c r="I24" i="15"/>
  <c r="I23" i="15"/>
  <c r="E20" i="15" l="1"/>
  <c r="K4" i="10" l="1"/>
  <c r="K5" i="10"/>
  <c r="K6" i="10"/>
  <c r="K7" i="10"/>
  <c r="K8" i="10"/>
  <c r="K3" i="10"/>
  <c r="G4" i="10"/>
  <c r="G5" i="10"/>
  <c r="G6" i="10"/>
  <c r="G7" i="10"/>
  <c r="G8" i="10"/>
  <c r="G3" i="10"/>
  <c r="B4" i="10"/>
  <c r="B5" i="10"/>
  <c r="B6" i="10"/>
  <c r="B7" i="10"/>
  <c r="B8" i="10"/>
  <c r="B3" i="10"/>
</calcChain>
</file>

<file path=xl/sharedStrings.xml><?xml version="1.0" encoding="utf-8"?>
<sst xmlns="http://schemas.openxmlformats.org/spreadsheetml/2006/main" count="915" uniqueCount="268">
  <si>
    <t>Channel Name</t>
  </si>
  <si>
    <t>Module</t>
  </si>
  <si>
    <t>Channel Number</t>
  </si>
  <si>
    <t>ChannelName</t>
  </si>
  <si>
    <t>Formula</t>
  </si>
  <si>
    <t>Voltage</t>
  </si>
  <si>
    <t>Conc %</t>
  </si>
  <si>
    <t>Conc PPM</t>
  </si>
  <si>
    <t>CO</t>
  </si>
  <si>
    <t>CO2</t>
  </si>
  <si>
    <t>O2</t>
  </si>
  <si>
    <t>mA</t>
  </si>
  <si>
    <t>"None"</t>
  </si>
  <si>
    <t>Units</t>
  </si>
  <si>
    <t>Function</t>
  </si>
  <si>
    <t>Temperature C</t>
  </si>
  <si>
    <t>Pressure Voltage</t>
  </si>
  <si>
    <t xml:space="preserve">Function </t>
  </si>
  <si>
    <t>Min</t>
  </si>
  <si>
    <t>Max</t>
  </si>
  <si>
    <t>Data Logger</t>
  </si>
  <si>
    <t>SC1</t>
  </si>
  <si>
    <t>SC2</t>
  </si>
  <si>
    <t>05</t>
  </si>
  <si>
    <t>06</t>
  </si>
  <si>
    <t>07</t>
  </si>
  <si>
    <t>08</t>
  </si>
  <si>
    <t>09</t>
  </si>
  <si>
    <t>00</t>
  </si>
  <si>
    <t>01</t>
  </si>
  <si>
    <t>02</t>
  </si>
  <si>
    <t>03</t>
  </si>
  <si>
    <t>04</t>
  </si>
  <si>
    <t>Gas Voltage</t>
  </si>
  <si>
    <t>"Thermocouple (K)"</t>
  </si>
  <si>
    <t>"Voltage"</t>
  </si>
  <si>
    <t>"C"</t>
  </si>
  <si>
    <t>"V"</t>
  </si>
  <si>
    <t>Alarm</t>
  </si>
  <si>
    <t>"High Only"</t>
  </si>
  <si>
    <t>Low</t>
  </si>
  <si>
    <t>High</t>
  </si>
  <si>
    <t>-0.100000</t>
  </si>
  <si>
    <t>-5.000000</t>
  </si>
  <si>
    <t>0.100000</t>
  </si>
  <si>
    <t>5.000000</t>
  </si>
  <si>
    <t>0.000000</t>
  </si>
  <si>
    <t>-0.099000</t>
  </si>
  <si>
    <t>0.099000</t>
  </si>
  <si>
    <t>-245.729755</t>
  </si>
  <si>
    <t>Total Number of Channels</t>
  </si>
  <si>
    <t>Mod 05</t>
  </si>
  <si>
    <t>Mod 06</t>
  </si>
  <si>
    <t>Mod 07</t>
  </si>
  <si>
    <t>Mod 08</t>
  </si>
  <si>
    <t>Mod 09</t>
  </si>
  <si>
    <t>Mod 10</t>
  </si>
  <si>
    <t>Mod 11</t>
  </si>
  <si>
    <t>Mod 12</t>
  </si>
  <si>
    <t>Calc Channels</t>
  </si>
  <si>
    <t>This program is designed to be used with the following Module and Channel Configurations in MAX</t>
  </si>
  <si>
    <t>Module 5</t>
  </si>
  <si>
    <t>Channels 0-31</t>
  </si>
  <si>
    <t>Type K TC</t>
  </si>
  <si>
    <t>Module 6</t>
  </si>
  <si>
    <t>Module 7</t>
  </si>
  <si>
    <t>Module 8</t>
  </si>
  <si>
    <t>Module 9</t>
  </si>
  <si>
    <t>Module 10</t>
  </si>
  <si>
    <t>Module 11</t>
  </si>
  <si>
    <t>Module 12</t>
  </si>
  <si>
    <t xml:space="preserve">Gas Voltage -5 to 5 </t>
  </si>
  <si>
    <t>Pressure Voltage -5 to 5</t>
  </si>
  <si>
    <t>Fill in the channel names on each module. Blank channels will be named but not turned on. Fill in the calculated channels and select the "Create Channels" button below.</t>
  </si>
  <si>
    <t>You will be prompted for the name and location to save your .chcfg file. Enter the file name and select "Save As" to create your file. If the total number of channels</t>
  </si>
  <si>
    <t>exceeds 256 you will need to turn off either physical or calculated channels to validate in the UL fire safety tester program.</t>
  </si>
  <si>
    <t>1TC1</t>
  </si>
  <si>
    <t>1TC3</t>
  </si>
  <si>
    <t>1TC5</t>
  </si>
  <si>
    <t>1TC7</t>
  </si>
  <si>
    <t>2TC1</t>
  </si>
  <si>
    <t>2TC3</t>
  </si>
  <si>
    <t>2TC5</t>
  </si>
  <si>
    <t>2TC7</t>
  </si>
  <si>
    <t>3TC1</t>
  </si>
  <si>
    <t>3TC3</t>
  </si>
  <si>
    <t>3TC5</t>
  </si>
  <si>
    <t>3TC7</t>
  </si>
  <si>
    <t>4TC1</t>
  </si>
  <si>
    <t>4TC3</t>
  </si>
  <si>
    <t>4TC5</t>
  </si>
  <si>
    <t>4TC7</t>
  </si>
  <si>
    <t>Extension</t>
  </si>
  <si>
    <t>Connector</t>
  </si>
  <si>
    <t>PT1000</t>
  </si>
  <si>
    <t>Humidity Voltage</t>
  </si>
  <si>
    <t>Channels 0-18</t>
  </si>
  <si>
    <t>Channels 19-31</t>
  </si>
  <si>
    <t>Channels 0-11</t>
  </si>
  <si>
    <t>HeatFlux Voltage -0.1 to 0.1</t>
  </si>
  <si>
    <t>Channels 12-22</t>
  </si>
  <si>
    <t>Channels 22-31</t>
  </si>
  <si>
    <t>Generic Voltage -5 to 5</t>
  </si>
  <si>
    <t>3TC2</t>
  </si>
  <si>
    <t>3TC4</t>
  </si>
  <si>
    <t>3TC6</t>
  </si>
  <si>
    <t>4TC2</t>
  </si>
  <si>
    <t>4TC4</t>
  </si>
  <si>
    <t>4TC6</t>
  </si>
  <si>
    <t>SC3</t>
  </si>
  <si>
    <t>1232.065825</t>
  </si>
  <si>
    <t>HF Voltage</t>
  </si>
  <si>
    <t>1230.00000</t>
  </si>
  <si>
    <t>Sesnsor</t>
  </si>
  <si>
    <t>"High and Low"</t>
  </si>
  <si>
    <t>0.0010000</t>
  </si>
  <si>
    <t>1PT1</t>
  </si>
  <si>
    <t>1PT7</t>
  </si>
  <si>
    <t>Flow Voltage</t>
  </si>
  <si>
    <t>0.0000000</t>
  </si>
  <si>
    <t>9.9800000</t>
  </si>
  <si>
    <t>-10.00000</t>
  </si>
  <si>
    <t>10.00000</t>
  </si>
  <si>
    <t>4.900000</t>
  </si>
  <si>
    <t>1TC2</t>
  </si>
  <si>
    <t>1TC4</t>
  </si>
  <si>
    <t>1TC6</t>
  </si>
  <si>
    <t>2TC2</t>
  </si>
  <si>
    <t>2TC4</t>
  </si>
  <si>
    <t>2TC6</t>
  </si>
  <si>
    <t>1PT4</t>
  </si>
  <si>
    <t>2PT1</t>
  </si>
  <si>
    <t>2PT4</t>
  </si>
  <si>
    <t>2PT7</t>
  </si>
  <si>
    <t>Zero Values</t>
  </si>
  <si>
    <t>BDP11Flow</t>
  </si>
  <si>
    <t>CFM</t>
  </si>
  <si>
    <t>1BDP1DoorFlow</t>
  </si>
  <si>
    <t>sign(1BDP1V-2.5)*0.07*sqrt(280*abs((9.964*1BDP1V)-24.91))*196.85*2.5</t>
  </si>
  <si>
    <t>BDP12Flow</t>
  </si>
  <si>
    <t>1BDP2DoorFlow</t>
  </si>
  <si>
    <t>sign(1BDP2V-2.5)*.07*sqrt(280*abs((9.964*1BDP2V)-24.91))*196.85*2.5</t>
  </si>
  <si>
    <t>BDP13Flow</t>
  </si>
  <si>
    <t>1BDP3DoorFlow</t>
  </si>
  <si>
    <t>sign(1BDP3V-2.5)*.07*sqrt(280*abs((9.964*1BDP3V)-24.91))*196.85*2.5</t>
  </si>
  <si>
    <t>BDP14Flow</t>
  </si>
  <si>
    <t>1BDP4DoorFlow</t>
  </si>
  <si>
    <t>sign(1BDP4V-2.5)*.07*sqrt(280*abs((9.964*1BDP4V)-24.91))*196.85*2.5</t>
  </si>
  <si>
    <t>BDP15Flow</t>
  </si>
  <si>
    <t>1BDP5DoorFlow</t>
  </si>
  <si>
    <t>sign(1BDP5V-2.5)*.07*sqrt(280*abs((9.964*1BDP5V)-24.91))*196.85*2.5</t>
  </si>
  <si>
    <t>Total1BDPFlow</t>
  </si>
  <si>
    <t>BDP21Flow</t>
  </si>
  <si>
    <t>2BDP1DoorFlow</t>
  </si>
  <si>
    <t>sign(2BDP1V-2.5)*.07*sqrt(280*abs((9.964*2BDP1V)-24.91))*196.85*2.5</t>
  </si>
  <si>
    <t>BDP22Flow</t>
  </si>
  <si>
    <t>2BDP2DoorFlow</t>
  </si>
  <si>
    <t>sign(2BDP2V-2.5)*.07*sqrt(280*abs((9.964*2BDP2V)-24.91))*196.85*2.5</t>
  </si>
  <si>
    <t>BDP23Flow</t>
  </si>
  <si>
    <t>2BDP3DoorFlow</t>
  </si>
  <si>
    <t>sign(2BDP3V-2.5)*.07*sqrt(280*abs((9.964*2BDP3V)-24.91))*196.85*2.5</t>
  </si>
  <si>
    <t>BDP24Flow</t>
  </si>
  <si>
    <t>2BDP4DoorFlow</t>
  </si>
  <si>
    <t>sign(2BDP4V-2.5)*.07*sqrt(280*abs((9.964*2BDP4V)-24.91))*196.85*2.5</t>
  </si>
  <si>
    <t>BDP25Flow</t>
  </si>
  <si>
    <t>2BDP5DoorFlow</t>
  </si>
  <si>
    <t>sign(2BDP5V-2.5)*.07*sqrt(280*abs((9.964*2BDP5V)-24.91))*196.85*2.5</t>
  </si>
  <si>
    <t>TotalBDP2Flow</t>
  </si>
  <si>
    <t>Total2BDPFlow</t>
  </si>
  <si>
    <t>BDP31Flow</t>
  </si>
  <si>
    <t>3BDP1DoorFlow</t>
  </si>
  <si>
    <t>sign(3BDP1V-2.5)*.07*sqrt(280*abs((9.964*3BDP1V)-24.91))*196.85*2.5</t>
  </si>
  <si>
    <t>BDP32Flow</t>
  </si>
  <si>
    <t>3BDP2DoorFlow</t>
  </si>
  <si>
    <t>sign(3BDP2V-2.5)*.07*sqrt(280*abs((9.964*3BDP2V)-24.91))*196.85*2.5</t>
  </si>
  <si>
    <t>BDP33Flow</t>
  </si>
  <si>
    <t>3BDP3DoorFlow</t>
  </si>
  <si>
    <t>sign(3BDP3V-2.5)*.07*sqrt(280*abs((9.964*3BDP3V)-24.91))*196.85*2.5</t>
  </si>
  <si>
    <t>BDP34Flow</t>
  </si>
  <si>
    <t>3BDP4DoorFlow</t>
  </si>
  <si>
    <t>sign(3BDP4V-2.5)*.07*sqrt(280*abs((9.964*3BDP4V)-24.91))*196.85*2.5</t>
  </si>
  <si>
    <t>BDP35Flow</t>
  </si>
  <si>
    <t>3BDP5DoorFlow</t>
  </si>
  <si>
    <t>sign(3BDP5V-2.5)*.07*sqrt(280*abs((9.964*3BDP5V)-24.91))*196.85*2.5</t>
  </si>
  <si>
    <t>Total3BDPFlow</t>
  </si>
  <si>
    <t>BDP41Flow</t>
  </si>
  <si>
    <t>4BDP1DoorFlow</t>
  </si>
  <si>
    <t>sign(4BDP1V-2.5)*.07*sqrt(280*abs((9.964*4BDP1V)-24.91))*196.85*2.5</t>
  </si>
  <si>
    <t>BDP42Flow</t>
  </si>
  <si>
    <t>4BDP2DoorFlow</t>
  </si>
  <si>
    <t>sign(4BDP2V-2.5)*.07*sqrt(280*abs((9.964*4BDP2V)-24.91))*196.85*2.5</t>
  </si>
  <si>
    <t>BDP43Flow</t>
  </si>
  <si>
    <t>4BDP3DoorFlow</t>
  </si>
  <si>
    <t>sign(4BDP3V-2.5)*.07*sqrt(280*abs((9.964*4BDP3V)-24.91))*196.85*2.5</t>
  </si>
  <si>
    <t>BDP44Flow</t>
  </si>
  <si>
    <t>4BDP4DoorFlow</t>
  </si>
  <si>
    <t>sign(4BDP4V-2.5)*.07*sqrt(280*abs((9.964*4BDP4V)-24.91))*196.85*2.5</t>
  </si>
  <si>
    <t>BDP45Flow</t>
  </si>
  <si>
    <t>4BDP5DoorFlow</t>
  </si>
  <si>
    <t>sign(4BDP5V-2.5)*.07*sqrt(280*abs((9.964*4BDP5V)-24.91))*196.85*2.5</t>
  </si>
  <si>
    <t>Total4BDPFlow</t>
  </si>
  <si>
    <t>PT11</t>
  </si>
  <si>
    <t>sign(PT11V-2.5)*abs(49.81*PT11V-124.54)</t>
  </si>
  <si>
    <t>Pa</t>
  </si>
  <si>
    <t>sign(1PT1V-2.5)*abs(49.81*1PT1-124.54)</t>
  </si>
  <si>
    <t>PT14</t>
  </si>
  <si>
    <t>sign(PT14V-2.5)*abs(49.81*PT14V-124.54)</t>
  </si>
  <si>
    <t>sign(1PT4V-2.5)*abs(49.81*1PT4V-124.54)</t>
  </si>
  <si>
    <t>PT17</t>
  </si>
  <si>
    <t>sign(PT17V-2.5)*abs(49.81*PT17V-124.54)</t>
  </si>
  <si>
    <t>sign(1PT7V-2.5)*abs(49.81*1PT7V-124.54)</t>
  </si>
  <si>
    <t>PT21</t>
  </si>
  <si>
    <t>sign(PT21V-2.5)*abs(49.81*PT21V-124.54)</t>
  </si>
  <si>
    <t>sign(2PT1V-2.5)*abs(49.81*2PT1V-124.54)</t>
  </si>
  <si>
    <t>PT24</t>
  </si>
  <si>
    <t>sign(PT24V-2.5)*abs(49.81*PT24V-124.54)</t>
  </si>
  <si>
    <t>sign(2PT4V-2.5)*abs(49.81*2PT4V-124.54)</t>
  </si>
  <si>
    <t>PT27</t>
  </si>
  <si>
    <t>sign(PT27V-2.5)*abs(49.81*PT27V-124.54)</t>
  </si>
  <si>
    <t>sign(2PT7V-2.5)*abs(49.81*2PT7V-124.54)</t>
  </si>
  <si>
    <t>Extension 2</t>
  </si>
  <si>
    <t>BDP11V</t>
  </si>
  <si>
    <t>BDP12V</t>
  </si>
  <si>
    <t>BDP13V</t>
  </si>
  <si>
    <t>BDP14V</t>
  </si>
  <si>
    <t>BDP15V</t>
  </si>
  <si>
    <t>BDP21V</t>
  </si>
  <si>
    <t>BDP22V</t>
  </si>
  <si>
    <t>BDP23V</t>
  </si>
  <si>
    <t>BDP24V</t>
  </si>
  <si>
    <t>BDP25V</t>
  </si>
  <si>
    <t>BDP31V</t>
  </si>
  <si>
    <t>BDP32V</t>
  </si>
  <si>
    <t>BDP33V</t>
  </si>
  <si>
    <t>BDP34V</t>
  </si>
  <si>
    <t>BDP35V</t>
  </si>
  <si>
    <t>BDP41V</t>
  </si>
  <si>
    <t>BDP42V</t>
  </si>
  <si>
    <t>BDP43V</t>
  </si>
  <si>
    <t>BDP44V</t>
  </si>
  <si>
    <t>BDP45V</t>
  </si>
  <si>
    <t>PT11V</t>
  </si>
  <si>
    <t>PT14V</t>
  </si>
  <si>
    <t>PT17V</t>
  </si>
  <si>
    <t>PT21V</t>
  </si>
  <si>
    <t>PT24V</t>
  </si>
  <si>
    <t>PT27V</t>
  </si>
  <si>
    <t>BDP11T</t>
  </si>
  <si>
    <t>BDP12T</t>
  </si>
  <si>
    <t>BDP13T</t>
  </si>
  <si>
    <t>BDP14T</t>
  </si>
  <si>
    <t>BDP15T</t>
  </si>
  <si>
    <t>BDP21T</t>
  </si>
  <si>
    <t>BDP22T</t>
  </si>
  <si>
    <t>BDP23T</t>
  </si>
  <si>
    <t>BDP24T</t>
  </si>
  <si>
    <t>BDP25T</t>
  </si>
  <si>
    <t>BDP31T</t>
  </si>
  <si>
    <t>BDP32T</t>
  </si>
  <si>
    <t>BDP33T</t>
  </si>
  <si>
    <t>BDP34T</t>
  </si>
  <si>
    <t>BDP35T</t>
  </si>
  <si>
    <t>BDP41T</t>
  </si>
  <si>
    <t>BDP42T</t>
  </si>
  <si>
    <t>BDP43T</t>
  </si>
  <si>
    <t>BDP44T</t>
  </si>
  <si>
    <t>BDP45T</t>
  </si>
  <si>
    <t xml:space="preserve"> </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</si>
</sst>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11"/>
      <color theme="1"/>
      <name val="Calibri"/>
      <family val="2"/>
      <scheme val="minor"/>
    </font>
    <font>
      <sz val="11"/>
      <color rgb="FF000000"/>
      <name val="Calibri"/>
      <family val="2"/>
    </font>
    <font>
      <sz val="72"/>
      <color theme="1"/>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3">
    <xf numFmtId="0" fontId="0" fillId="0" borderId="0" xfId="0"/>
    <xf numFmtId="0" fontId="0" fillId="0" borderId="0" xfId="0" applyAlignment="1">
      <alignment horizontal="center"/>
    </xf>
    <xf numFmtId="0" fontId="0" fillId="0" borderId="0" xfId="0" applyAlignment="1"/>
    <xf numFmtId="0" fontId="0" fillId="0" borderId="0" xfId="0" applyAlignment="1">
      <alignment horizontal="center"/>
    </xf>
    <xf numFmtId="0" fontId="1" fillId="0" borderId="0" xfId="0" applyFont="1"/>
    <xf numFmtId="0" fontId="0" fillId="2" borderId="0" xfId="0" applyFill="1"/>
    <xf numFmtId="49" fontId="0" fillId="0" borderId="0" xfId="0" applyNumberFormat="1"/>
    <xf numFmtId="49" fontId="0" fillId="0" borderId="0" xfId="0" applyNumberFormat="1" applyAlignment="1">
      <alignment horizontal="center"/>
    </xf>
    <xf numFmtId="0" fontId="0" fillId="0" borderId="1" xfId="0" applyBorder="1"/>
    <xf numFmtId="49" fontId="0" fillId="0" borderId="1" xfId="0" applyNumberFormat="1" applyBorder="1" applyAlignment="1">
      <alignment horizontal="center"/>
    </xf>
    <xf numFmtId="0" fontId="0" fillId="0" borderId="1" xfId="0" applyBorder="1" applyAlignment="1">
      <alignment horizontal="center"/>
    </xf>
    <xf numFmtId="0" fontId="3" fillId="0" borderId="0" xfId="0" applyFont="1" applyAlignment="1">
      <alignment horizontal="center" vertical="center"/>
    </xf>
    <xf numFmtId="0" fontId="0" fillId="0" borderId="0" xfId="0" applyAlignment="1">
      <alignment horizontal="center"/>
    </xf>
  </cellXfs>
  <cellStyles count="1">
    <cellStyle name="Normal" xfId="0" builtinId="0"/>
  </cellStyles>
  <dxfs count="2">
    <dxf>
      <font>
        <color theme="0"/>
      </font>
      <fill>
        <patternFill>
          <bgColor rgb="FFFF00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1"/>
            <c:trendlineLbl>
              <c:layout>
                <c:manualLayout>
                  <c:x val="5.8801399825021876E-3"/>
                  <c:y val="-5.578448527267424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'Calculation for Gas Analzers'!$B$3:$B$8</c:f>
              <c:numCache>
                <c:formatCode>General</c:formatCode>
                <c:ptCount val="6"/>
                <c:pt idx="0">
                  <c:v>0</c:v>
                </c:pt>
                <c:pt idx="1">
                  <c:v>1</c:v>
                </c:pt>
                <c:pt idx="2">
                  <c:v>2</c:v>
                </c:pt>
                <c:pt idx="3">
                  <c:v>3</c:v>
                </c:pt>
                <c:pt idx="4">
                  <c:v>4</c:v>
                </c:pt>
                <c:pt idx="5">
                  <c:v>5</c:v>
                </c:pt>
              </c:numCache>
            </c:numRef>
          </c:xVal>
          <c:yVal>
            <c:numRef>
              <c:f>'Calculation for Gas Analzers'!$D$3:$D$8</c:f>
              <c:numCache>
                <c:formatCode>General</c:formatCode>
                <c:ptCount val="6"/>
                <c:pt idx="0">
                  <c:v>0</c:v>
                </c:pt>
                <c:pt idx="1">
                  <c:v>10000</c:v>
                </c:pt>
                <c:pt idx="2">
                  <c:v>20000</c:v>
                </c:pt>
                <c:pt idx="3">
                  <c:v>30000</c:v>
                </c:pt>
                <c:pt idx="4">
                  <c:v>40000</c:v>
                </c:pt>
                <c:pt idx="5">
                  <c:v>50000</c:v>
                </c:pt>
              </c:numCache>
            </c:numRef>
          </c:yVal>
          <c:smooth val="1"/>
        </c:ser>
        <c:dLbls>
          <c:showLegendKey val="0"/>
          <c:showVal val="0"/>
          <c:showCatName val="0"/>
          <c:showSerName val="0"/>
          <c:showPercent val="0"/>
          <c:showBubbleSize val="0"/>
        </c:dLbls>
        <c:axId val="75510144"/>
        <c:axId val="75511680"/>
      </c:scatterChart>
      <c:valAx>
        <c:axId val="755101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511680"/>
        <c:crosses val="autoZero"/>
        <c:crossBetween val="midCat"/>
      </c:valAx>
      <c:valAx>
        <c:axId val="75511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5101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CO2</a:t>
            </a:r>
          </a:p>
        </c:rich>
      </c:tx>
      <c:overlay val="0"/>
      <c:spPr>
        <a:noFill/>
        <a:ln>
          <a:noFill/>
        </a:ln>
        <a:effectLst/>
      </c:spPr>
    </c:title>
    <c:autoTitleDeleted val="0"/>
    <c:plotArea>
      <c:layout/>
      <c:scatterChart>
        <c:scatterStyle val="smoothMarker"/>
        <c:varyColors val="0"/>
        <c:ser>
          <c:idx val="0"/>
          <c:order val="0"/>
          <c:tx>
            <c:strRef>
              <c:f>'Calculation for Gas Analzers'!$H$2</c:f>
              <c:strCache>
                <c:ptCount val="1"/>
                <c:pt idx="0">
                  <c:v>Conc %</c:v>
                </c:pt>
              </c:strCache>
            </c:strRef>
          </c:tx>
          <c:spPr>
            <a:ln w="19050"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1"/>
            <c:trendlineLbl>
              <c:layout>
                <c:manualLayout>
                  <c:x val="-1.9008748906386701E-2"/>
                  <c:y val="-5.578448527267424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'Calculation for Gas Analzers'!$G$3:$G$8</c:f>
              <c:numCache>
                <c:formatCode>General</c:formatCode>
                <c:ptCount val="6"/>
                <c:pt idx="0">
                  <c:v>0</c:v>
                </c:pt>
                <c:pt idx="1">
                  <c:v>1</c:v>
                </c:pt>
                <c:pt idx="2">
                  <c:v>2</c:v>
                </c:pt>
                <c:pt idx="3">
                  <c:v>3</c:v>
                </c:pt>
                <c:pt idx="4">
                  <c:v>4</c:v>
                </c:pt>
                <c:pt idx="5">
                  <c:v>5</c:v>
                </c:pt>
              </c:numCache>
            </c:numRef>
          </c:xVal>
          <c:yVal>
            <c:numRef>
              <c:f>'Calculation for Gas Analzers'!$H$3:$H$8</c:f>
              <c:numCache>
                <c:formatCode>General</c:formatCode>
                <c:ptCount val="6"/>
                <c:pt idx="0">
                  <c:v>0</c:v>
                </c:pt>
                <c:pt idx="1">
                  <c:v>5</c:v>
                </c:pt>
                <c:pt idx="2">
                  <c:v>10</c:v>
                </c:pt>
                <c:pt idx="3">
                  <c:v>15</c:v>
                </c:pt>
                <c:pt idx="4">
                  <c:v>20</c:v>
                </c:pt>
                <c:pt idx="5">
                  <c:v>25</c:v>
                </c:pt>
              </c:numCache>
            </c:numRef>
          </c:yVal>
          <c:smooth val="1"/>
        </c:ser>
        <c:dLbls>
          <c:showLegendKey val="0"/>
          <c:showVal val="0"/>
          <c:showCatName val="0"/>
          <c:showSerName val="0"/>
          <c:showPercent val="0"/>
          <c:showBubbleSize val="0"/>
        </c:dLbls>
        <c:axId val="75528448"/>
        <c:axId val="73994240"/>
      </c:scatterChart>
      <c:valAx>
        <c:axId val="755284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994240"/>
        <c:crosses val="autoZero"/>
        <c:crossBetween val="midCat"/>
      </c:valAx>
      <c:valAx>
        <c:axId val="73994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5284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O2</a:t>
            </a:r>
          </a:p>
        </c:rich>
      </c:tx>
      <c:overlay val="0"/>
      <c:spPr>
        <a:noFill/>
        <a:ln>
          <a:noFill/>
        </a:ln>
        <a:effectLst/>
      </c:spPr>
    </c:title>
    <c:autoTitleDeleted val="0"/>
    <c:plotArea>
      <c:layout/>
      <c:scatterChart>
        <c:scatterStyle val="smoothMarker"/>
        <c:varyColors val="0"/>
        <c:ser>
          <c:idx val="0"/>
          <c:order val="0"/>
          <c:tx>
            <c:strRef>
              <c:f>'Calculation for Gas Analzers'!$L$2</c:f>
              <c:strCache>
                <c:ptCount val="1"/>
                <c:pt idx="0">
                  <c:v>Conc %</c:v>
                </c:pt>
              </c:strCache>
            </c:strRef>
          </c:tx>
          <c:spPr>
            <a:ln w="19050"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1"/>
            <c:trendlineLbl>
              <c:layout>
                <c:manualLayout>
                  <c:x val="-1.6230971128608922E-2"/>
                  <c:y val="-5.115485564304461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'Calculation for Gas Analzers'!$K$3:$K$8</c:f>
              <c:numCache>
                <c:formatCode>General</c:formatCode>
                <c:ptCount val="6"/>
                <c:pt idx="0">
                  <c:v>0</c:v>
                </c:pt>
                <c:pt idx="1">
                  <c:v>1</c:v>
                </c:pt>
                <c:pt idx="2">
                  <c:v>2</c:v>
                </c:pt>
                <c:pt idx="3">
                  <c:v>3</c:v>
                </c:pt>
                <c:pt idx="4">
                  <c:v>4</c:v>
                </c:pt>
                <c:pt idx="5">
                  <c:v>5</c:v>
                </c:pt>
              </c:numCache>
            </c:numRef>
          </c:xVal>
          <c:yVal>
            <c:numRef>
              <c:f>'Calculation for Gas Analzers'!$L$3:$L$8</c:f>
              <c:numCache>
                <c:formatCode>General</c:formatCode>
                <c:ptCount val="6"/>
                <c:pt idx="0">
                  <c:v>0</c:v>
                </c:pt>
                <c:pt idx="1">
                  <c:v>5</c:v>
                </c:pt>
                <c:pt idx="2">
                  <c:v>10</c:v>
                </c:pt>
                <c:pt idx="3">
                  <c:v>15</c:v>
                </c:pt>
                <c:pt idx="4">
                  <c:v>20</c:v>
                </c:pt>
                <c:pt idx="5">
                  <c:v>25</c:v>
                </c:pt>
              </c:numCache>
            </c:numRef>
          </c:yVal>
          <c:smooth val="1"/>
        </c:ser>
        <c:dLbls>
          <c:showLegendKey val="0"/>
          <c:showVal val="0"/>
          <c:showCatName val="0"/>
          <c:showSerName val="0"/>
          <c:showPercent val="0"/>
          <c:showBubbleSize val="0"/>
        </c:dLbls>
        <c:axId val="74051968"/>
        <c:axId val="74053504"/>
      </c:scatterChart>
      <c:valAx>
        <c:axId val="740519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053504"/>
        <c:crosses val="autoZero"/>
        <c:crossBetween val="midCat"/>
      </c:valAx>
      <c:valAx>
        <c:axId val="74053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0519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21</xdr:row>
          <xdr:rowOff>19050</xdr:rowOff>
        </xdr:from>
        <xdr:to>
          <xdr:col>3</xdr:col>
          <xdr:colOff>0</xdr:colOff>
          <xdr:row>23</xdr:row>
          <xdr:rowOff>161925</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Channels</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342900</xdr:colOff>
      <xdr:row>11</xdr:row>
      <xdr:rowOff>19050</xdr:rowOff>
    </xdr:from>
    <xdr:to>
      <xdr:col>6</xdr:col>
      <xdr:colOff>314325</xdr:colOff>
      <xdr:row>22</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423862</xdr:colOff>
      <xdr:row>11</xdr:row>
      <xdr:rowOff>9525</xdr:rowOff>
    </xdr:from>
    <xdr:to>
      <xdr:col>12</xdr:col>
      <xdr:colOff>552450</xdr:colOff>
      <xdr:row>22</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95249</xdr:colOff>
      <xdr:row>10</xdr:row>
      <xdr:rowOff>190499</xdr:rowOff>
    </xdr:from>
    <xdr:to>
      <xdr:col>19</xdr:col>
      <xdr:colOff>400050</xdr:colOff>
      <xdr:row>22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I31"/>
  <sheetViews>
    <sheetView workbookViewId="0">
      <selection activeCell="B12" sqref="B12:C12"/>
    </sheetView>
  </sheetViews>
  <sheetFormatPr defaultRowHeight="15" x14ac:dyDescent="0.25"/>
  <cols>
    <col min="1" max="1" width="11.28515625" bestFit="1" customWidth="1"/>
    <col min="2" max="2" width="14.42578125" bestFit="1" customWidth="1"/>
    <col min="3" max="3" width="25.7109375" bestFit="1" customWidth="1"/>
    <col min="6" max="6" width="9.140625" customWidth="1"/>
    <col min="8" max="8" width="13.28515625" hidden="1" customWidth="1"/>
    <col min="9" max="9" width="9.140625" hidden="1" customWidth="1"/>
  </cols>
  <sheetData>
    <row r="1" spans="1:3" x14ac:dyDescent="0.45">
      <c r="A1" t="s">
        <v>60</v>
      </c>
    </row>
    <row r="3" spans="1:3" x14ac:dyDescent="0.45">
      <c r="A3" t="s">
        <v>61</v>
      </c>
      <c r="B3" t="s">
        <v>62</v>
      </c>
      <c r="C3" t="s">
        <v>63</v>
      </c>
    </row>
    <row r="4" spans="1:3" x14ac:dyDescent="0.45">
      <c r="A4" t="s">
        <v>64</v>
      </c>
      <c r="B4" t="s">
        <v>62</v>
      </c>
      <c r="C4" t="s">
        <v>63</v>
      </c>
    </row>
    <row r="5" spans="1:3" x14ac:dyDescent="0.45">
      <c r="A5" t="s">
        <v>65</v>
      </c>
      <c r="B5" t="s">
        <v>62</v>
      </c>
      <c r="C5" t="s">
        <v>63</v>
      </c>
    </row>
    <row r="6" spans="1:3" x14ac:dyDescent="0.45">
      <c r="A6" t="s">
        <v>66</v>
      </c>
      <c r="B6" t="s">
        <v>62</v>
      </c>
      <c r="C6" t="s">
        <v>63</v>
      </c>
    </row>
    <row r="7" spans="1:3" x14ac:dyDescent="0.45">
      <c r="A7" t="s">
        <v>67</v>
      </c>
      <c r="B7" t="s">
        <v>62</v>
      </c>
      <c r="C7" t="s">
        <v>63</v>
      </c>
    </row>
    <row r="8" spans="1:3" x14ac:dyDescent="0.45">
      <c r="A8" t="s">
        <v>68</v>
      </c>
      <c r="B8" t="s">
        <v>96</v>
      </c>
      <c r="C8" t="s">
        <v>63</v>
      </c>
    </row>
    <row r="9" spans="1:3" x14ac:dyDescent="0.45">
      <c r="A9" t="s">
        <v>68</v>
      </c>
      <c r="B9" t="s">
        <v>97</v>
      </c>
      <c r="C9" t="s">
        <v>71</v>
      </c>
    </row>
    <row r="10" spans="1:3" x14ac:dyDescent="0.45">
      <c r="A10" t="s">
        <v>69</v>
      </c>
      <c r="B10" t="s">
        <v>62</v>
      </c>
      <c r="C10" t="s">
        <v>72</v>
      </c>
    </row>
    <row r="11" spans="1:3" x14ac:dyDescent="0.45">
      <c r="A11" t="s">
        <v>70</v>
      </c>
      <c r="B11" t="s">
        <v>98</v>
      </c>
      <c r="C11" t="s">
        <v>72</v>
      </c>
    </row>
    <row r="12" spans="1:3" x14ac:dyDescent="0.45">
      <c r="A12" t="s">
        <v>70</v>
      </c>
      <c r="B12" t="s">
        <v>100</v>
      </c>
      <c r="C12" t="s">
        <v>99</v>
      </c>
    </row>
    <row r="13" spans="1:3" x14ac:dyDescent="0.45">
      <c r="A13" t="s">
        <v>70</v>
      </c>
      <c r="B13" t="s">
        <v>101</v>
      </c>
      <c r="C13" t="s">
        <v>102</v>
      </c>
    </row>
    <row r="15" spans="1:3" x14ac:dyDescent="0.45">
      <c r="A15" t="s">
        <v>73</v>
      </c>
    </row>
    <row r="16" spans="1:3" x14ac:dyDescent="0.45">
      <c r="A16" t="s">
        <v>74</v>
      </c>
    </row>
    <row r="17" spans="1:9" x14ac:dyDescent="0.45">
      <c r="A17" t="s">
        <v>75</v>
      </c>
    </row>
    <row r="19" spans="1:9" x14ac:dyDescent="0.45">
      <c r="E19" t="s">
        <v>50</v>
      </c>
    </row>
    <row r="20" spans="1:9" x14ac:dyDescent="0.45">
      <c r="A20" s="4" t="s">
        <v>20</v>
      </c>
      <c r="B20" s="5" t="s">
        <v>22</v>
      </c>
      <c r="E20">
        <f>SUM(I23:I31)</f>
        <v>106</v>
      </c>
      <c r="I20" t="s">
        <v>21</v>
      </c>
    </row>
    <row r="21" spans="1:9" x14ac:dyDescent="0.45">
      <c r="I21" t="s">
        <v>22</v>
      </c>
    </row>
    <row r="22" spans="1:9" x14ac:dyDescent="0.45">
      <c r="I22" t="s">
        <v>109</v>
      </c>
    </row>
    <row r="23" spans="1:9" x14ac:dyDescent="0.45">
      <c r="H23" t="s">
        <v>51</v>
      </c>
      <c r="I23">
        <f>COUNTA('Mod 7'!C2:C33)</f>
        <v>28</v>
      </c>
    </row>
    <row r="24" spans="1:9" x14ac:dyDescent="0.45">
      <c r="H24" t="s">
        <v>52</v>
      </c>
      <c r="I24">
        <f>COUNTA('Mod 6'!C25:C33)</f>
        <v>0</v>
      </c>
    </row>
    <row r="25" spans="1:9" x14ac:dyDescent="0.45">
      <c r="H25" t="s">
        <v>53</v>
      </c>
      <c r="I25">
        <f>COUNTA('Mod 7'!#REF!)</f>
        <v>1</v>
      </c>
    </row>
    <row r="26" spans="1:9" x14ac:dyDescent="0.45">
      <c r="H26" t="s">
        <v>54</v>
      </c>
      <c r="I26">
        <f>COUNTA('Mod 8'!C2:C33)</f>
        <v>20</v>
      </c>
    </row>
    <row r="27" spans="1:9" x14ac:dyDescent="0.45">
      <c r="H27" t="s">
        <v>55</v>
      </c>
      <c r="I27">
        <f>COUNTA('Mod 9'!C2:C33)</f>
        <v>0</v>
      </c>
    </row>
    <row r="28" spans="1:9" x14ac:dyDescent="0.45">
      <c r="H28" t="s">
        <v>56</v>
      </c>
      <c r="I28">
        <f>COUNTA('Mod 10'!C2:C33)</f>
        <v>0</v>
      </c>
    </row>
    <row r="29" spans="1:9" x14ac:dyDescent="0.45">
      <c r="H29" t="s">
        <v>57</v>
      </c>
      <c r="I29">
        <f>COUNTA('Mod 12'!C2:C33)</f>
        <v>26</v>
      </c>
    </row>
    <row r="30" spans="1:9" x14ac:dyDescent="0.45">
      <c r="H30" t="s">
        <v>58</v>
      </c>
      <c r="I30">
        <f>COUNTA('Mod 12'!#REF!)</f>
        <v>1</v>
      </c>
    </row>
    <row r="31" spans="1:9" x14ac:dyDescent="0.45">
      <c r="H31" t="s">
        <v>59</v>
      </c>
      <c r="I31">
        <f>COUNTA('Calculated Channels'!A:A)-1</f>
        <v>30</v>
      </c>
    </row>
  </sheetData>
  <conditionalFormatting sqref="E20">
    <cfRule type="cellIs" dxfId="1" priority="1" operator="lessThan">
      <formula>257</formula>
    </cfRule>
    <cfRule type="cellIs" dxfId="0" priority="2" operator="greaterThan">
      <formula>256</formula>
    </cfRule>
  </conditionalFormatting>
  <dataValidations count="1">
    <dataValidation type="list" allowBlank="1" showInputMessage="1" showErrorMessage="1" sqref="B20">
      <formula1>$I$20:$I$22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WriteChannelsTxt">
                <anchor moveWithCells="1" sizeWithCells="1">
                  <from>
                    <xdr:col>1</xdr:col>
                    <xdr:colOff>19050</xdr:colOff>
                    <xdr:row>21</xdr:row>
                    <xdr:rowOff>19050</xdr:rowOff>
                  </from>
                  <to>
                    <xdr:col>3</xdr:col>
                    <xdr:colOff>0</xdr:colOff>
                    <xdr:row>23</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33"/>
  <sheetViews>
    <sheetView workbookViewId="0">
      <selection activeCell="H12" sqref="H12"/>
    </sheetView>
  </sheetViews>
  <sheetFormatPr defaultRowHeight="15" x14ac:dyDescent="0.25"/>
  <cols>
    <col min="2" max="2" width="16.140625" bestFit="1" customWidth="1"/>
    <col min="3" max="3" width="16.42578125" customWidth="1"/>
    <col min="4" max="4" width="16.28515625" customWidth="1"/>
  </cols>
  <sheetData>
    <row r="1" spans="1:4" ht="14.25" x14ac:dyDescent="0.45">
      <c r="A1" s="8" t="s">
        <v>1</v>
      </c>
      <c r="B1" s="8" t="s">
        <v>2</v>
      </c>
      <c r="C1" s="8" t="s">
        <v>0</v>
      </c>
      <c r="D1" s="8" t="s">
        <v>14</v>
      </c>
    </row>
    <row r="2" spans="1:4" ht="14.25" x14ac:dyDescent="0.45">
      <c r="A2" s="9" t="s">
        <v>23</v>
      </c>
      <c r="B2" s="9" t="s">
        <v>28</v>
      </c>
      <c r="C2" s="8"/>
      <c r="D2" s="8" t="s">
        <v>15</v>
      </c>
    </row>
    <row r="3" spans="1:4" ht="14.25" x14ac:dyDescent="0.45">
      <c r="A3" s="9" t="s">
        <v>23</v>
      </c>
      <c r="B3" s="9" t="s">
        <v>29</v>
      </c>
      <c r="C3" s="8"/>
      <c r="D3" s="8" t="s">
        <v>15</v>
      </c>
    </row>
    <row r="4" spans="1:4" ht="14.25" x14ac:dyDescent="0.45">
      <c r="A4" s="9" t="s">
        <v>23</v>
      </c>
      <c r="B4" s="9" t="s">
        <v>30</v>
      </c>
      <c r="C4" s="8"/>
      <c r="D4" s="8" t="s">
        <v>15</v>
      </c>
    </row>
    <row r="5" spans="1:4" ht="14.25" x14ac:dyDescent="0.45">
      <c r="A5" s="9" t="s">
        <v>23</v>
      </c>
      <c r="B5" s="9" t="s">
        <v>31</v>
      </c>
      <c r="C5" s="8"/>
      <c r="D5" s="8" t="s">
        <v>15</v>
      </c>
    </row>
    <row r="6" spans="1:4" ht="14.25" x14ac:dyDescent="0.45">
      <c r="A6" s="9" t="s">
        <v>23</v>
      </c>
      <c r="B6" s="9" t="s">
        <v>32</v>
      </c>
      <c r="C6" s="8"/>
      <c r="D6" s="8" t="s">
        <v>15</v>
      </c>
    </row>
    <row r="7" spans="1:4" ht="14.25" x14ac:dyDescent="0.45">
      <c r="A7" s="9" t="s">
        <v>23</v>
      </c>
      <c r="B7" s="9" t="s">
        <v>23</v>
      </c>
      <c r="C7" s="8"/>
      <c r="D7" s="8" t="s">
        <v>15</v>
      </c>
    </row>
    <row r="8" spans="1:4" ht="14.25" x14ac:dyDescent="0.45">
      <c r="A8" s="9" t="s">
        <v>23</v>
      </c>
      <c r="B8" s="9" t="s">
        <v>24</v>
      </c>
      <c r="C8" s="8"/>
      <c r="D8" s="8" t="s">
        <v>15</v>
      </c>
    </row>
    <row r="9" spans="1:4" ht="14.25" x14ac:dyDescent="0.45">
      <c r="A9" s="9" t="s">
        <v>23</v>
      </c>
      <c r="B9" s="9" t="s">
        <v>25</v>
      </c>
      <c r="C9" s="8"/>
      <c r="D9" s="8" t="s">
        <v>15</v>
      </c>
    </row>
    <row r="10" spans="1:4" ht="14.25" x14ac:dyDescent="0.45">
      <c r="A10" s="9" t="s">
        <v>23</v>
      </c>
      <c r="B10" s="9" t="s">
        <v>26</v>
      </c>
      <c r="C10" s="8"/>
      <c r="D10" s="8" t="s">
        <v>15</v>
      </c>
    </row>
    <row r="11" spans="1:4" ht="14.25" x14ac:dyDescent="0.45">
      <c r="A11" s="9" t="s">
        <v>23</v>
      </c>
      <c r="B11" s="9" t="s">
        <v>27</v>
      </c>
      <c r="C11" s="8"/>
      <c r="D11" s="8" t="s">
        <v>15</v>
      </c>
    </row>
    <row r="12" spans="1:4" ht="14.25" x14ac:dyDescent="0.45">
      <c r="A12" s="9" t="s">
        <v>23</v>
      </c>
      <c r="B12" s="9">
        <v>10</v>
      </c>
      <c r="C12" s="8"/>
      <c r="D12" s="8" t="s">
        <v>15</v>
      </c>
    </row>
    <row r="13" spans="1:4" ht="14.25" x14ac:dyDescent="0.45">
      <c r="A13" s="9" t="s">
        <v>23</v>
      </c>
      <c r="B13" s="9">
        <v>11</v>
      </c>
      <c r="C13" s="8"/>
      <c r="D13" s="8" t="s">
        <v>15</v>
      </c>
    </row>
    <row r="14" spans="1:4" ht="14.25" x14ac:dyDescent="0.45">
      <c r="A14" s="9" t="s">
        <v>23</v>
      </c>
      <c r="B14" s="9">
        <v>12</v>
      </c>
      <c r="C14" s="8"/>
      <c r="D14" s="8" t="s">
        <v>15</v>
      </c>
    </row>
    <row r="15" spans="1:4" ht="14.25" x14ac:dyDescent="0.45">
      <c r="A15" s="9" t="s">
        <v>23</v>
      </c>
      <c r="B15" s="9">
        <v>13</v>
      </c>
      <c r="C15" s="8"/>
      <c r="D15" s="8" t="s">
        <v>15</v>
      </c>
    </row>
    <row r="16" spans="1:4" ht="14.25" x14ac:dyDescent="0.45">
      <c r="A16" s="9" t="s">
        <v>23</v>
      </c>
      <c r="B16" s="9">
        <v>14</v>
      </c>
      <c r="C16" s="8"/>
      <c r="D16" s="8" t="s">
        <v>15</v>
      </c>
    </row>
    <row r="17" spans="1:4" ht="14.25" x14ac:dyDescent="0.45">
      <c r="A17" s="9" t="s">
        <v>23</v>
      </c>
      <c r="B17" s="9">
        <v>15</v>
      </c>
      <c r="C17" s="8"/>
      <c r="D17" s="8" t="s">
        <v>15</v>
      </c>
    </row>
    <row r="18" spans="1:4" ht="14.25" x14ac:dyDescent="0.45">
      <c r="A18" s="9" t="s">
        <v>23</v>
      </c>
      <c r="B18" s="9">
        <v>16</v>
      </c>
      <c r="C18" s="8"/>
      <c r="D18" s="8" t="s">
        <v>15</v>
      </c>
    </row>
    <row r="19" spans="1:4" ht="14.25" x14ac:dyDescent="0.45">
      <c r="A19" s="9" t="s">
        <v>23</v>
      </c>
      <c r="B19" s="9">
        <v>17</v>
      </c>
      <c r="C19" s="8"/>
      <c r="D19" s="8" t="s">
        <v>15</v>
      </c>
    </row>
    <row r="20" spans="1:4" ht="14.25" x14ac:dyDescent="0.45">
      <c r="A20" s="9" t="s">
        <v>23</v>
      </c>
      <c r="B20" s="9">
        <v>18</v>
      </c>
      <c r="C20" s="8"/>
      <c r="D20" s="8" t="s">
        <v>15</v>
      </c>
    </row>
    <row r="21" spans="1:4" ht="14.25" x14ac:dyDescent="0.45">
      <c r="A21" s="9" t="s">
        <v>23</v>
      </c>
      <c r="B21" s="9">
        <v>19</v>
      </c>
      <c r="C21" s="8"/>
      <c r="D21" s="8" t="s">
        <v>15</v>
      </c>
    </row>
    <row r="22" spans="1:4" ht="14.25" x14ac:dyDescent="0.45">
      <c r="A22" s="9" t="s">
        <v>23</v>
      </c>
      <c r="B22" s="9">
        <v>20</v>
      </c>
      <c r="C22" s="8"/>
      <c r="D22" s="8" t="s">
        <v>15</v>
      </c>
    </row>
    <row r="23" spans="1:4" ht="14.25" x14ac:dyDescent="0.45">
      <c r="A23" s="9" t="s">
        <v>23</v>
      </c>
      <c r="B23" s="9">
        <v>21</v>
      </c>
      <c r="C23" s="8"/>
      <c r="D23" s="8" t="s">
        <v>15</v>
      </c>
    </row>
    <row r="24" spans="1:4" ht="14.25" x14ac:dyDescent="0.45">
      <c r="A24" s="9" t="s">
        <v>23</v>
      </c>
      <c r="B24" s="9">
        <v>22</v>
      </c>
      <c r="C24" s="8"/>
      <c r="D24" s="8" t="s">
        <v>15</v>
      </c>
    </row>
    <row r="25" spans="1:4" ht="14.25" x14ac:dyDescent="0.45">
      <c r="A25" s="9" t="s">
        <v>23</v>
      </c>
      <c r="B25" s="9">
        <v>23</v>
      </c>
      <c r="C25" s="8"/>
      <c r="D25" s="8" t="s">
        <v>15</v>
      </c>
    </row>
    <row r="26" spans="1:4" ht="14.25" x14ac:dyDescent="0.45">
      <c r="A26" s="9" t="s">
        <v>23</v>
      </c>
      <c r="B26" s="9">
        <v>24</v>
      </c>
      <c r="C26" s="8"/>
      <c r="D26" s="8" t="s">
        <v>15</v>
      </c>
    </row>
    <row r="27" spans="1:4" x14ac:dyDescent="0.25">
      <c r="A27" s="9" t="s">
        <v>23</v>
      </c>
      <c r="B27" s="9">
        <v>25</v>
      </c>
      <c r="C27" s="8"/>
      <c r="D27" s="8" t="s">
        <v>15</v>
      </c>
    </row>
    <row r="28" spans="1:4" x14ac:dyDescent="0.25">
      <c r="A28" s="9" t="s">
        <v>23</v>
      </c>
      <c r="B28" s="9">
        <v>26</v>
      </c>
      <c r="C28" s="8"/>
      <c r="D28" s="8" t="s">
        <v>15</v>
      </c>
    </row>
    <row r="29" spans="1:4" x14ac:dyDescent="0.25">
      <c r="A29" s="9" t="s">
        <v>23</v>
      </c>
      <c r="B29" s="9">
        <v>27</v>
      </c>
      <c r="C29" s="8"/>
      <c r="D29" s="8" t="s">
        <v>15</v>
      </c>
    </row>
    <row r="30" spans="1:4" x14ac:dyDescent="0.25">
      <c r="A30" s="9" t="s">
        <v>23</v>
      </c>
      <c r="B30" s="9">
        <v>28</v>
      </c>
      <c r="C30" s="8"/>
      <c r="D30" s="8" t="s">
        <v>15</v>
      </c>
    </row>
    <row r="31" spans="1:4" x14ac:dyDescent="0.25">
      <c r="A31" s="9" t="s">
        <v>23</v>
      </c>
      <c r="B31" s="9">
        <v>29</v>
      </c>
      <c r="C31" s="8"/>
      <c r="D31" s="8" t="s">
        <v>15</v>
      </c>
    </row>
    <row r="32" spans="1:4" x14ac:dyDescent="0.25">
      <c r="A32" s="9" t="s">
        <v>23</v>
      </c>
      <c r="B32" s="9">
        <v>30</v>
      </c>
      <c r="C32" s="8"/>
      <c r="D32" s="8" t="s">
        <v>15</v>
      </c>
    </row>
    <row r="33" spans="1:4" x14ac:dyDescent="0.25">
      <c r="A33" s="9" t="s">
        <v>23</v>
      </c>
      <c r="B33" s="9">
        <v>31</v>
      </c>
      <c r="C33" s="8"/>
      <c r="D33" s="8" t="s">
        <v>15</v>
      </c>
    </row>
  </sheetData>
  <pageMargins left="0.7" right="0.7" top="0.75" bottom="0.75" header="0.3" footer="0.3"/>
  <pageSetup scale="140" orientation="portrait" verticalDpi="0" r:id="rId1"/>
  <ignoredErrors>
    <ignoredError sqref="A2:B33" numberStoredAsText="1"/>
  </ignoredError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'Channel Functions'!$A$2:$A$4</xm:f>
          </x14:formula1>
          <xm:sqref>D2:D33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33"/>
  <sheetViews>
    <sheetView workbookViewId="0">
      <selection activeCell="G12" sqref="G12"/>
    </sheetView>
  </sheetViews>
  <sheetFormatPr defaultRowHeight="15" x14ac:dyDescent="0.25"/>
  <cols>
    <col min="1" max="1" width="9.140625" style="7"/>
    <col min="2" max="2" width="16.140625" bestFit="1" customWidth="1"/>
    <col min="3" max="3" width="16.42578125" customWidth="1"/>
    <col min="4" max="4" width="14.28515625" bestFit="1" customWidth="1"/>
  </cols>
  <sheetData>
    <row r="1" spans="1:4" ht="14.25" x14ac:dyDescent="0.45">
      <c r="A1" s="9" t="s">
        <v>1</v>
      </c>
      <c r="B1" s="8" t="s">
        <v>2</v>
      </c>
      <c r="C1" s="8" t="s">
        <v>0</v>
      </c>
      <c r="D1" s="8" t="s">
        <v>14</v>
      </c>
    </row>
    <row r="2" spans="1:4" ht="14.25" x14ac:dyDescent="0.45">
      <c r="A2" s="9" t="s">
        <v>24</v>
      </c>
      <c r="B2" s="9" t="s">
        <v>28</v>
      </c>
      <c r="C2" s="8"/>
      <c r="D2" s="8" t="s">
        <v>15</v>
      </c>
    </row>
    <row r="3" spans="1:4" ht="14.25" x14ac:dyDescent="0.45">
      <c r="A3" s="9" t="s">
        <v>24</v>
      </c>
      <c r="B3" s="9" t="s">
        <v>29</v>
      </c>
      <c r="C3" s="8"/>
      <c r="D3" s="8" t="s">
        <v>15</v>
      </c>
    </row>
    <row r="4" spans="1:4" ht="14.25" x14ac:dyDescent="0.45">
      <c r="A4" s="9" t="s">
        <v>24</v>
      </c>
      <c r="B4" s="9" t="s">
        <v>30</v>
      </c>
      <c r="C4" s="8"/>
      <c r="D4" s="8" t="s">
        <v>15</v>
      </c>
    </row>
    <row r="5" spans="1:4" ht="14.25" x14ac:dyDescent="0.45">
      <c r="A5" s="9" t="s">
        <v>24</v>
      </c>
      <c r="B5" s="9" t="s">
        <v>31</v>
      </c>
      <c r="C5" s="8"/>
      <c r="D5" s="8" t="s">
        <v>15</v>
      </c>
    </row>
    <row r="6" spans="1:4" ht="14.25" x14ac:dyDescent="0.45">
      <c r="A6" s="9" t="s">
        <v>24</v>
      </c>
      <c r="B6" s="9" t="s">
        <v>32</v>
      </c>
      <c r="C6" s="8"/>
      <c r="D6" s="8" t="s">
        <v>15</v>
      </c>
    </row>
    <row r="7" spans="1:4" ht="14.25" x14ac:dyDescent="0.45">
      <c r="A7" s="9" t="s">
        <v>24</v>
      </c>
      <c r="B7" s="9" t="s">
        <v>23</v>
      </c>
      <c r="C7" s="8"/>
      <c r="D7" s="8" t="s">
        <v>15</v>
      </c>
    </row>
    <row r="8" spans="1:4" ht="14.25" x14ac:dyDescent="0.45">
      <c r="A8" s="9" t="s">
        <v>24</v>
      </c>
      <c r="B8" s="9" t="s">
        <v>24</v>
      </c>
      <c r="C8" s="8"/>
      <c r="D8" s="8" t="s">
        <v>15</v>
      </c>
    </row>
    <row r="9" spans="1:4" ht="14.25" x14ac:dyDescent="0.45">
      <c r="A9" s="9" t="s">
        <v>24</v>
      </c>
      <c r="B9" s="9" t="s">
        <v>25</v>
      </c>
      <c r="C9" s="8"/>
      <c r="D9" s="8" t="s">
        <v>15</v>
      </c>
    </row>
    <row r="10" spans="1:4" ht="14.25" x14ac:dyDescent="0.45">
      <c r="A10" s="9" t="s">
        <v>24</v>
      </c>
      <c r="B10" s="9" t="s">
        <v>26</v>
      </c>
      <c r="C10" s="8"/>
      <c r="D10" s="8" t="s">
        <v>15</v>
      </c>
    </row>
    <row r="11" spans="1:4" ht="14.25" x14ac:dyDescent="0.45">
      <c r="A11" s="9" t="s">
        <v>24</v>
      </c>
      <c r="B11" s="9" t="s">
        <v>27</v>
      </c>
      <c r="C11" s="8"/>
      <c r="D11" s="8" t="s">
        <v>15</v>
      </c>
    </row>
    <row r="12" spans="1:4" ht="14.25" x14ac:dyDescent="0.45">
      <c r="A12" s="9" t="s">
        <v>24</v>
      </c>
      <c r="B12" s="9">
        <v>10</v>
      </c>
      <c r="C12" s="8"/>
      <c r="D12" s="8" t="s">
        <v>15</v>
      </c>
    </row>
    <row r="13" spans="1:4" ht="14.25" x14ac:dyDescent="0.45">
      <c r="A13" s="9" t="s">
        <v>24</v>
      </c>
      <c r="B13" s="9">
        <v>11</v>
      </c>
      <c r="C13" s="8"/>
      <c r="D13" s="8" t="s">
        <v>15</v>
      </c>
    </row>
    <row r="14" spans="1:4" ht="14.25" x14ac:dyDescent="0.45">
      <c r="A14" s="9" t="s">
        <v>24</v>
      </c>
      <c r="B14" s="9">
        <v>12</v>
      </c>
      <c r="C14" s="8"/>
      <c r="D14" s="8" t="s">
        <v>15</v>
      </c>
    </row>
    <row r="15" spans="1:4" ht="14.25" x14ac:dyDescent="0.45">
      <c r="A15" s="9" t="s">
        <v>24</v>
      </c>
      <c r="B15" s="9">
        <v>13</v>
      </c>
      <c r="C15" s="8"/>
      <c r="D15" s="8" t="s">
        <v>15</v>
      </c>
    </row>
    <row r="16" spans="1:4" ht="14.25" x14ac:dyDescent="0.45">
      <c r="A16" s="9" t="s">
        <v>24</v>
      </c>
      <c r="B16" s="9">
        <v>14</v>
      </c>
      <c r="C16" s="8"/>
      <c r="D16" s="8" t="s">
        <v>15</v>
      </c>
    </row>
    <row r="17" spans="1:4" ht="14.25" x14ac:dyDescent="0.45">
      <c r="A17" s="9" t="s">
        <v>24</v>
      </c>
      <c r="B17" s="9">
        <v>15</v>
      </c>
      <c r="C17" s="8"/>
      <c r="D17" s="8" t="s">
        <v>15</v>
      </c>
    </row>
    <row r="18" spans="1:4" ht="14.25" x14ac:dyDescent="0.45">
      <c r="A18" s="9" t="s">
        <v>24</v>
      </c>
      <c r="B18" s="9">
        <v>16</v>
      </c>
      <c r="C18" s="8"/>
      <c r="D18" s="8" t="s">
        <v>15</v>
      </c>
    </row>
    <row r="19" spans="1:4" ht="14.25" x14ac:dyDescent="0.45">
      <c r="A19" s="9" t="s">
        <v>24</v>
      </c>
      <c r="B19" s="9">
        <v>17</v>
      </c>
      <c r="C19" s="8"/>
      <c r="D19" s="8" t="s">
        <v>15</v>
      </c>
    </row>
    <row r="20" spans="1:4" ht="14.25" x14ac:dyDescent="0.45">
      <c r="A20" s="9" t="s">
        <v>24</v>
      </c>
      <c r="B20" s="9">
        <v>18</v>
      </c>
      <c r="C20" s="8"/>
      <c r="D20" s="8" t="s">
        <v>15</v>
      </c>
    </row>
    <row r="21" spans="1:4" ht="14.25" x14ac:dyDescent="0.45">
      <c r="A21" s="9" t="s">
        <v>24</v>
      </c>
      <c r="B21" s="9">
        <v>19</v>
      </c>
      <c r="C21" s="8"/>
      <c r="D21" s="8" t="s">
        <v>15</v>
      </c>
    </row>
    <row r="22" spans="1:4" ht="14.25" x14ac:dyDescent="0.45">
      <c r="A22" s="9" t="s">
        <v>24</v>
      </c>
      <c r="B22" s="9">
        <v>20</v>
      </c>
      <c r="C22" s="8"/>
      <c r="D22" s="8" t="s">
        <v>15</v>
      </c>
    </row>
    <row r="23" spans="1:4" ht="14.25" x14ac:dyDescent="0.45">
      <c r="A23" s="9" t="s">
        <v>24</v>
      </c>
      <c r="B23" s="9">
        <v>21</v>
      </c>
      <c r="C23" s="8"/>
      <c r="D23" s="8" t="s">
        <v>15</v>
      </c>
    </row>
    <row r="24" spans="1:4" ht="14.25" x14ac:dyDescent="0.45">
      <c r="A24" s="9" t="s">
        <v>24</v>
      </c>
      <c r="B24" s="9">
        <v>22</v>
      </c>
      <c r="C24" s="8"/>
      <c r="D24" s="8" t="s">
        <v>15</v>
      </c>
    </row>
    <row r="25" spans="1:4" ht="14.25" x14ac:dyDescent="0.45">
      <c r="A25" s="9" t="s">
        <v>24</v>
      </c>
      <c r="B25" s="9">
        <v>23</v>
      </c>
      <c r="C25" s="8"/>
      <c r="D25" s="8" t="s">
        <v>15</v>
      </c>
    </row>
    <row r="26" spans="1:4" ht="14.25" x14ac:dyDescent="0.45">
      <c r="A26" s="9" t="s">
        <v>24</v>
      </c>
      <c r="B26" s="9">
        <v>24</v>
      </c>
      <c r="C26" s="8"/>
      <c r="D26" s="8" t="s">
        <v>15</v>
      </c>
    </row>
    <row r="27" spans="1:4" x14ac:dyDescent="0.25">
      <c r="A27" s="9" t="s">
        <v>24</v>
      </c>
      <c r="B27" s="9">
        <v>25</v>
      </c>
      <c r="C27" s="8"/>
      <c r="D27" s="8" t="s">
        <v>15</v>
      </c>
    </row>
    <row r="28" spans="1:4" x14ac:dyDescent="0.25">
      <c r="A28" s="9" t="s">
        <v>24</v>
      </c>
      <c r="B28" s="9">
        <v>26</v>
      </c>
      <c r="C28" s="8"/>
      <c r="D28" s="8" t="s">
        <v>15</v>
      </c>
    </row>
    <row r="29" spans="1:4" x14ac:dyDescent="0.25">
      <c r="A29" s="9" t="s">
        <v>24</v>
      </c>
      <c r="B29" s="9">
        <v>27</v>
      </c>
      <c r="C29" s="8"/>
      <c r="D29" s="8" t="s">
        <v>15</v>
      </c>
    </row>
    <row r="30" spans="1:4" x14ac:dyDescent="0.25">
      <c r="A30" s="9" t="s">
        <v>24</v>
      </c>
      <c r="B30" s="9">
        <v>28</v>
      </c>
      <c r="C30" s="8"/>
      <c r="D30" s="8" t="s">
        <v>15</v>
      </c>
    </row>
    <row r="31" spans="1:4" x14ac:dyDescent="0.25">
      <c r="A31" s="9" t="s">
        <v>24</v>
      </c>
      <c r="B31" s="9">
        <v>29</v>
      </c>
      <c r="C31" s="8"/>
      <c r="D31" s="8" t="s">
        <v>15</v>
      </c>
    </row>
    <row r="32" spans="1:4" x14ac:dyDescent="0.25">
      <c r="A32" s="9" t="s">
        <v>24</v>
      </c>
      <c r="B32" s="9">
        <v>30</v>
      </c>
      <c r="C32" s="8"/>
      <c r="D32" s="8" t="s">
        <v>15</v>
      </c>
    </row>
    <row r="33" spans="1:4" x14ac:dyDescent="0.25">
      <c r="A33" s="9" t="s">
        <v>24</v>
      </c>
      <c r="B33" s="9">
        <v>31</v>
      </c>
      <c r="C33" s="8"/>
      <c r="D33" s="8" t="s">
        <v>15</v>
      </c>
    </row>
  </sheetData>
  <pageMargins left="0.7" right="0.7" top="0.75" bottom="0.75" header="0.3" footer="0.3"/>
  <pageSetup scale="140" orientation="portrait" verticalDpi="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'Channel Functions'!$A$2:$A$4</xm:f>
          </x14:formula1>
          <xm:sqref>D2:D33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33"/>
  <sheetViews>
    <sheetView workbookViewId="0">
      <selection activeCell="K23" sqref="K23"/>
    </sheetView>
  </sheetViews>
  <sheetFormatPr defaultRowHeight="15" x14ac:dyDescent="0.25"/>
  <cols>
    <col min="1" max="1" width="9.140625" style="7"/>
    <col min="2" max="2" width="16.140625" bestFit="1" customWidth="1"/>
    <col min="3" max="3" width="16.42578125" customWidth="1"/>
    <col min="4" max="4" width="14.28515625" bestFit="1" customWidth="1"/>
  </cols>
  <sheetData>
    <row r="1" spans="1:7" ht="14.25" x14ac:dyDescent="0.45">
      <c r="A1" s="9" t="s">
        <v>1</v>
      </c>
      <c r="B1" s="8" t="s">
        <v>2</v>
      </c>
      <c r="C1" s="8" t="s">
        <v>0</v>
      </c>
      <c r="D1" s="8" t="s">
        <v>14</v>
      </c>
      <c r="F1" t="s">
        <v>92</v>
      </c>
      <c r="G1" t="s">
        <v>93</v>
      </c>
    </row>
    <row r="2" spans="1:7" ht="14.25" x14ac:dyDescent="0.45">
      <c r="A2" s="9" t="s">
        <v>25</v>
      </c>
      <c r="B2" s="9" t="s">
        <v>28</v>
      </c>
      <c r="C2" s="8" t="s">
        <v>76</v>
      </c>
      <c r="D2" s="8" t="s">
        <v>15</v>
      </c>
      <c r="F2">
        <v>2</v>
      </c>
      <c r="G2">
        <v>1</v>
      </c>
    </row>
    <row r="3" spans="1:7" ht="14.25" x14ac:dyDescent="0.45">
      <c r="A3" s="9" t="s">
        <v>25</v>
      </c>
      <c r="B3" s="9" t="s">
        <v>29</v>
      </c>
      <c r="C3" s="8" t="s">
        <v>124</v>
      </c>
      <c r="D3" s="8" t="s">
        <v>15</v>
      </c>
      <c r="F3">
        <v>2</v>
      </c>
      <c r="G3">
        <v>2</v>
      </c>
    </row>
    <row r="4" spans="1:7" ht="14.25" x14ac:dyDescent="0.45">
      <c r="A4" s="9" t="s">
        <v>25</v>
      </c>
      <c r="B4" s="9" t="s">
        <v>30</v>
      </c>
      <c r="C4" s="8" t="s">
        <v>77</v>
      </c>
      <c r="D4" s="8" t="s">
        <v>15</v>
      </c>
      <c r="F4">
        <v>2</v>
      </c>
      <c r="G4">
        <v>3</v>
      </c>
    </row>
    <row r="5" spans="1:7" ht="14.25" x14ac:dyDescent="0.45">
      <c r="A5" s="9" t="s">
        <v>25</v>
      </c>
      <c r="B5" s="9" t="s">
        <v>31</v>
      </c>
      <c r="C5" s="8" t="s">
        <v>125</v>
      </c>
      <c r="D5" s="8" t="s">
        <v>15</v>
      </c>
      <c r="F5">
        <v>2</v>
      </c>
      <c r="G5">
        <v>4</v>
      </c>
    </row>
    <row r="6" spans="1:7" ht="14.25" x14ac:dyDescent="0.45">
      <c r="A6" s="9" t="s">
        <v>25</v>
      </c>
      <c r="B6" s="9" t="s">
        <v>32</v>
      </c>
      <c r="C6" s="8" t="s">
        <v>78</v>
      </c>
      <c r="D6" s="8" t="s">
        <v>15</v>
      </c>
      <c r="F6">
        <v>2</v>
      </c>
      <c r="G6">
        <v>5</v>
      </c>
    </row>
    <row r="7" spans="1:7" ht="14.25" x14ac:dyDescent="0.45">
      <c r="A7" s="9" t="s">
        <v>25</v>
      </c>
      <c r="B7" s="9" t="s">
        <v>23</v>
      </c>
      <c r="C7" s="8" t="s">
        <v>126</v>
      </c>
      <c r="D7" s="8" t="s">
        <v>15</v>
      </c>
      <c r="F7">
        <v>2</v>
      </c>
      <c r="G7">
        <v>6</v>
      </c>
    </row>
    <row r="8" spans="1:7" ht="14.25" x14ac:dyDescent="0.45">
      <c r="A8" s="9" t="s">
        <v>25</v>
      </c>
      <c r="B8" s="9" t="s">
        <v>24</v>
      </c>
      <c r="C8" s="8" t="s">
        <v>79</v>
      </c>
      <c r="D8" s="8" t="s">
        <v>15</v>
      </c>
      <c r="F8">
        <v>2</v>
      </c>
      <c r="G8">
        <v>7</v>
      </c>
    </row>
    <row r="9" spans="1:7" ht="14.25" x14ac:dyDescent="0.45">
      <c r="A9" s="9" t="s">
        <v>25</v>
      </c>
      <c r="B9" s="9" t="s">
        <v>25</v>
      </c>
      <c r="C9" s="8"/>
      <c r="D9" s="8" t="s">
        <v>15</v>
      </c>
    </row>
    <row r="10" spans="1:7" ht="14.25" x14ac:dyDescent="0.45">
      <c r="A10" s="9" t="s">
        <v>25</v>
      </c>
      <c r="B10" s="9" t="s">
        <v>26</v>
      </c>
      <c r="C10" s="8" t="s">
        <v>80</v>
      </c>
      <c r="D10" s="8" t="s">
        <v>15</v>
      </c>
      <c r="F10">
        <v>2</v>
      </c>
      <c r="G10">
        <v>9</v>
      </c>
    </row>
    <row r="11" spans="1:7" ht="14.25" x14ac:dyDescent="0.45">
      <c r="A11" s="9" t="s">
        <v>25</v>
      </c>
      <c r="B11" s="9" t="s">
        <v>27</v>
      </c>
      <c r="C11" s="8" t="s">
        <v>127</v>
      </c>
      <c r="D11" s="8" t="s">
        <v>15</v>
      </c>
      <c r="F11">
        <v>2</v>
      </c>
      <c r="G11">
        <v>10</v>
      </c>
    </row>
    <row r="12" spans="1:7" ht="14.25" x14ac:dyDescent="0.45">
      <c r="A12" s="9" t="s">
        <v>25</v>
      </c>
      <c r="B12" s="9">
        <v>10</v>
      </c>
      <c r="C12" s="8" t="s">
        <v>81</v>
      </c>
      <c r="D12" s="8" t="s">
        <v>15</v>
      </c>
      <c r="F12">
        <v>2</v>
      </c>
      <c r="G12">
        <v>11</v>
      </c>
    </row>
    <row r="13" spans="1:7" ht="14.25" x14ac:dyDescent="0.45">
      <c r="A13" s="9" t="s">
        <v>25</v>
      </c>
      <c r="B13" s="9">
        <v>11</v>
      </c>
      <c r="C13" s="8" t="s">
        <v>128</v>
      </c>
      <c r="D13" s="8" t="s">
        <v>15</v>
      </c>
      <c r="F13">
        <v>2</v>
      </c>
      <c r="G13">
        <v>12</v>
      </c>
    </row>
    <row r="14" spans="1:7" ht="14.25" x14ac:dyDescent="0.45">
      <c r="A14" s="9" t="s">
        <v>25</v>
      </c>
      <c r="B14" s="9">
        <v>12</v>
      </c>
      <c r="C14" s="8" t="s">
        <v>82</v>
      </c>
      <c r="D14" s="8" t="s">
        <v>15</v>
      </c>
      <c r="F14">
        <v>2</v>
      </c>
      <c r="G14">
        <v>13</v>
      </c>
    </row>
    <row r="15" spans="1:7" ht="14.25" x14ac:dyDescent="0.45">
      <c r="A15" s="9" t="s">
        <v>25</v>
      </c>
      <c r="B15" s="9">
        <v>13</v>
      </c>
      <c r="C15" s="8" t="s">
        <v>129</v>
      </c>
      <c r="D15" s="8" t="s">
        <v>15</v>
      </c>
      <c r="F15">
        <v>2</v>
      </c>
      <c r="G15">
        <v>14</v>
      </c>
    </row>
    <row r="16" spans="1:7" ht="14.25" x14ac:dyDescent="0.45">
      <c r="A16" s="9" t="s">
        <v>25</v>
      </c>
      <c r="B16" s="9">
        <v>14</v>
      </c>
      <c r="C16" s="8" t="s">
        <v>83</v>
      </c>
      <c r="D16" s="8" t="s">
        <v>15</v>
      </c>
      <c r="F16">
        <v>2</v>
      </c>
      <c r="G16">
        <v>15</v>
      </c>
    </row>
    <row r="17" spans="1:7" ht="14.25" x14ac:dyDescent="0.45">
      <c r="A17" s="9" t="s">
        <v>25</v>
      </c>
      <c r="B17" s="9">
        <v>15</v>
      </c>
      <c r="C17" s="8"/>
      <c r="D17" s="8" t="s">
        <v>15</v>
      </c>
    </row>
    <row r="18" spans="1:7" ht="14.25" x14ac:dyDescent="0.45">
      <c r="A18" s="9" t="s">
        <v>25</v>
      </c>
      <c r="B18" s="9">
        <v>16</v>
      </c>
      <c r="C18" s="8" t="s">
        <v>84</v>
      </c>
      <c r="D18" s="8" t="s">
        <v>15</v>
      </c>
      <c r="F18">
        <v>2</v>
      </c>
      <c r="G18">
        <v>17</v>
      </c>
    </row>
    <row r="19" spans="1:7" ht="14.25" x14ac:dyDescent="0.45">
      <c r="A19" s="9" t="s">
        <v>25</v>
      </c>
      <c r="B19" s="9">
        <v>17</v>
      </c>
      <c r="C19" s="8" t="s">
        <v>103</v>
      </c>
      <c r="D19" s="8" t="s">
        <v>15</v>
      </c>
      <c r="F19">
        <v>2</v>
      </c>
      <c r="G19">
        <v>18</v>
      </c>
    </row>
    <row r="20" spans="1:7" ht="14.25" x14ac:dyDescent="0.45">
      <c r="A20" s="9" t="s">
        <v>25</v>
      </c>
      <c r="B20" s="9">
        <v>18</v>
      </c>
      <c r="C20" s="8" t="s">
        <v>85</v>
      </c>
      <c r="D20" s="8" t="s">
        <v>15</v>
      </c>
      <c r="F20">
        <v>2</v>
      </c>
      <c r="G20">
        <v>19</v>
      </c>
    </row>
    <row r="21" spans="1:7" ht="14.25" x14ac:dyDescent="0.45">
      <c r="A21" s="9" t="s">
        <v>25</v>
      </c>
      <c r="B21" s="9">
        <v>19</v>
      </c>
      <c r="C21" s="8" t="s">
        <v>104</v>
      </c>
      <c r="D21" s="8" t="s">
        <v>15</v>
      </c>
      <c r="F21">
        <v>2</v>
      </c>
      <c r="G21">
        <v>20</v>
      </c>
    </row>
    <row r="22" spans="1:7" ht="14.25" x14ac:dyDescent="0.45">
      <c r="A22" s="9" t="s">
        <v>25</v>
      </c>
      <c r="B22" s="9">
        <v>20</v>
      </c>
      <c r="C22" s="8" t="s">
        <v>86</v>
      </c>
      <c r="D22" s="8" t="s">
        <v>15</v>
      </c>
      <c r="F22">
        <v>2</v>
      </c>
      <c r="G22">
        <v>21</v>
      </c>
    </row>
    <row r="23" spans="1:7" ht="14.25" x14ac:dyDescent="0.45">
      <c r="A23" s="9" t="s">
        <v>25</v>
      </c>
      <c r="B23" s="9">
        <v>21</v>
      </c>
      <c r="C23" s="8" t="s">
        <v>105</v>
      </c>
      <c r="D23" s="8" t="s">
        <v>15</v>
      </c>
      <c r="F23">
        <v>2</v>
      </c>
      <c r="G23">
        <v>22</v>
      </c>
    </row>
    <row r="24" spans="1:7" ht="14.25" x14ac:dyDescent="0.45">
      <c r="A24" s="9" t="s">
        <v>25</v>
      </c>
      <c r="B24" s="9">
        <v>22</v>
      </c>
      <c r="C24" s="8" t="s">
        <v>87</v>
      </c>
      <c r="D24" s="8" t="s">
        <v>15</v>
      </c>
      <c r="F24">
        <v>2</v>
      </c>
      <c r="G24">
        <v>23</v>
      </c>
    </row>
    <row r="25" spans="1:7" ht="14.25" x14ac:dyDescent="0.45">
      <c r="A25" s="9" t="s">
        <v>25</v>
      </c>
      <c r="B25" s="9">
        <v>23</v>
      </c>
      <c r="C25" s="8"/>
      <c r="D25" s="8" t="s">
        <v>15</v>
      </c>
    </row>
    <row r="26" spans="1:7" ht="14.25" x14ac:dyDescent="0.45">
      <c r="A26" s="9" t="s">
        <v>25</v>
      </c>
      <c r="B26" s="9">
        <v>24</v>
      </c>
      <c r="C26" s="8" t="s">
        <v>88</v>
      </c>
      <c r="D26" s="8" t="s">
        <v>15</v>
      </c>
    </row>
    <row r="27" spans="1:7" x14ac:dyDescent="0.25">
      <c r="A27" s="9" t="s">
        <v>25</v>
      </c>
      <c r="B27" s="9">
        <v>25</v>
      </c>
      <c r="C27" s="8" t="s">
        <v>106</v>
      </c>
      <c r="D27" s="8" t="s">
        <v>15</v>
      </c>
    </row>
    <row r="28" spans="1:7" x14ac:dyDescent="0.25">
      <c r="A28" s="9" t="s">
        <v>25</v>
      </c>
      <c r="B28" s="9">
        <v>26</v>
      </c>
      <c r="C28" s="8" t="s">
        <v>89</v>
      </c>
      <c r="D28" s="8" t="s">
        <v>15</v>
      </c>
    </row>
    <row r="29" spans="1:7" x14ac:dyDescent="0.25">
      <c r="A29" s="9" t="s">
        <v>25</v>
      </c>
      <c r="B29" s="9">
        <v>27</v>
      </c>
      <c r="C29" s="8" t="s">
        <v>107</v>
      </c>
      <c r="D29" s="8" t="s">
        <v>15</v>
      </c>
    </row>
    <row r="30" spans="1:7" x14ac:dyDescent="0.25">
      <c r="A30" s="9" t="s">
        <v>25</v>
      </c>
      <c r="B30" s="9">
        <v>28</v>
      </c>
      <c r="C30" s="8" t="s">
        <v>90</v>
      </c>
      <c r="D30" s="8" t="s">
        <v>15</v>
      </c>
    </row>
    <row r="31" spans="1:7" x14ac:dyDescent="0.25">
      <c r="A31" s="9" t="s">
        <v>25</v>
      </c>
      <c r="B31" s="9">
        <v>29</v>
      </c>
      <c r="C31" s="8" t="s">
        <v>108</v>
      </c>
      <c r="D31" s="8" t="s">
        <v>15</v>
      </c>
    </row>
    <row r="32" spans="1:7" x14ac:dyDescent="0.25">
      <c r="A32" s="9" t="s">
        <v>25</v>
      </c>
      <c r="B32" s="9">
        <v>30</v>
      </c>
      <c r="C32" s="8" t="s">
        <v>91</v>
      </c>
      <c r="D32" s="8" t="s">
        <v>15</v>
      </c>
    </row>
    <row r="33" spans="1:4" x14ac:dyDescent="0.25">
      <c r="A33" s="9" t="s">
        <v>25</v>
      </c>
      <c r="B33" s="9">
        <v>31</v>
      </c>
      <c r="C33" s="8"/>
      <c r="D33" s="8" t="s">
        <v>15</v>
      </c>
    </row>
  </sheetData>
  <pageMargins left="0.7" right="0.7" top="0.75" bottom="0.75" header="0.3" footer="0.3"/>
  <pageSetup scale="140" orientation="portrait" verticalDpi="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'Channel Functions'!$A$2:$A$4</xm:f>
          </x14:formula1>
          <xm:sqref>D2:D33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33"/>
  <sheetViews>
    <sheetView tabSelected="1" workbookViewId="0">
      <selection activeCell="B23" sqref="B23"/>
    </sheetView>
  </sheetViews>
  <sheetFormatPr defaultRowHeight="15" x14ac:dyDescent="0.25"/>
  <cols>
    <col min="1" max="1" width="9.140625" style="7"/>
    <col min="2" max="2" width="16.140625" bestFit="1" customWidth="1"/>
    <col min="3" max="3" width="16.42578125" customWidth="1"/>
    <col min="4" max="4" width="14.28515625" bestFit="1" customWidth="1"/>
  </cols>
  <sheetData>
    <row r="1" spans="1:4" ht="14.25" x14ac:dyDescent="0.45">
      <c r="A1" s="9" t="s">
        <v>1</v>
      </c>
      <c r="B1" s="8" t="s">
        <v>2</v>
      </c>
      <c r="C1" s="8" t="s">
        <v>0</v>
      </c>
      <c r="D1" s="8" t="s">
        <v>14</v>
      </c>
    </row>
    <row r="2" spans="1:4" x14ac:dyDescent="0.25">
      <c r="A2" s="9" t="s">
        <v>26</v>
      </c>
      <c r="B2" s="9" t="s">
        <v>28</v>
      </c>
      <c r="C2" s="8" t="s">
        <v>247</v>
      </c>
      <c r="D2" s="8" t="s">
        <v>15</v>
      </c>
    </row>
    <row r="3" spans="1:4" x14ac:dyDescent="0.25">
      <c r="A3" s="9" t="s">
        <v>26</v>
      </c>
      <c r="B3" s="9" t="s">
        <v>29</v>
      </c>
      <c r="C3" s="8" t="s">
        <v>248</v>
      </c>
      <c r="D3" s="8" t="s">
        <v>15</v>
      </c>
    </row>
    <row r="4" spans="1:4" x14ac:dyDescent="0.25">
      <c r="A4" s="9" t="s">
        <v>26</v>
      </c>
      <c r="B4" s="9" t="s">
        <v>30</v>
      </c>
      <c r="C4" s="8" t="s">
        <v>249</v>
      </c>
      <c r="D4" s="8" t="s">
        <v>15</v>
      </c>
    </row>
    <row r="5" spans="1:4" x14ac:dyDescent="0.25">
      <c r="A5" s="9" t="s">
        <v>26</v>
      </c>
      <c r="B5" s="9" t="s">
        <v>31</v>
      </c>
      <c r="C5" s="8" t="s">
        <v>250</v>
      </c>
      <c r="D5" s="8" t="s">
        <v>15</v>
      </c>
    </row>
    <row r="6" spans="1:4" x14ac:dyDescent="0.25">
      <c r="A6" s="9" t="s">
        <v>26</v>
      </c>
      <c r="B6" s="9" t="s">
        <v>32</v>
      </c>
      <c r="C6" s="8" t="s">
        <v>251</v>
      </c>
      <c r="D6" s="8" t="s">
        <v>15</v>
      </c>
    </row>
    <row r="7" spans="1:4" x14ac:dyDescent="0.25">
      <c r="A7" s="9" t="s">
        <v>26</v>
      </c>
      <c r="B7" s="9" t="s">
        <v>23</v>
      </c>
      <c r="C7" s="8"/>
      <c r="D7" s="8" t="s">
        <v>15</v>
      </c>
    </row>
    <row r="8" spans="1:4" x14ac:dyDescent="0.25">
      <c r="A8" s="9" t="s">
        <v>26</v>
      </c>
      <c r="B8" s="9" t="s">
        <v>24</v>
      </c>
      <c r="C8" s="8" t="s">
        <v>252</v>
      </c>
      <c r="D8" s="8" t="s">
        <v>15</v>
      </c>
    </row>
    <row r="9" spans="1:4" x14ac:dyDescent="0.25">
      <c r="A9" s="9" t="s">
        <v>26</v>
      </c>
      <c r="B9" s="9" t="s">
        <v>25</v>
      </c>
      <c r="C9" s="8" t="s">
        <v>253</v>
      </c>
      <c r="D9" s="8" t="s">
        <v>15</v>
      </c>
    </row>
    <row r="10" spans="1:4" x14ac:dyDescent="0.25">
      <c r="A10" s="9" t="s">
        <v>26</v>
      </c>
      <c r="B10" s="9" t="s">
        <v>26</v>
      </c>
      <c r="C10" s="8" t="s">
        <v>254</v>
      </c>
      <c r="D10" s="8" t="s">
        <v>15</v>
      </c>
    </row>
    <row r="11" spans="1:4" x14ac:dyDescent="0.25">
      <c r="A11" s="9" t="s">
        <v>26</v>
      </c>
      <c r="B11" s="9" t="s">
        <v>27</v>
      </c>
      <c r="C11" s="8" t="s">
        <v>255</v>
      </c>
      <c r="D11" s="8" t="s">
        <v>15</v>
      </c>
    </row>
    <row r="12" spans="1:4" x14ac:dyDescent="0.25">
      <c r="A12" s="9" t="s">
        <v>26</v>
      </c>
      <c r="B12" s="9">
        <v>10</v>
      </c>
      <c r="C12" s="8" t="s">
        <v>256</v>
      </c>
      <c r="D12" s="8" t="s">
        <v>15</v>
      </c>
    </row>
    <row r="13" spans="1:4" x14ac:dyDescent="0.25">
      <c r="A13" s="9" t="s">
        <v>26</v>
      </c>
      <c r="B13" s="9">
        <v>11</v>
      </c>
      <c r="C13" s="8"/>
      <c r="D13" s="8" t="s">
        <v>15</v>
      </c>
    </row>
    <row r="14" spans="1:4" x14ac:dyDescent="0.25">
      <c r="A14" s="9" t="s">
        <v>26</v>
      </c>
      <c r="B14" s="9">
        <v>12</v>
      </c>
      <c r="C14" s="8" t="s">
        <v>257</v>
      </c>
      <c r="D14" s="8" t="s">
        <v>15</v>
      </c>
    </row>
    <row r="15" spans="1:4" x14ac:dyDescent="0.25">
      <c r="A15" s="9" t="s">
        <v>26</v>
      </c>
      <c r="B15" s="9">
        <v>13</v>
      </c>
      <c r="C15" s="8" t="s">
        <v>258</v>
      </c>
      <c r="D15" s="8" t="s">
        <v>15</v>
      </c>
    </row>
    <row r="16" spans="1:4" x14ac:dyDescent="0.25">
      <c r="A16" s="9" t="s">
        <v>26</v>
      </c>
      <c r="B16" s="9">
        <v>14</v>
      </c>
      <c r="C16" s="8" t="s">
        <v>259</v>
      </c>
      <c r="D16" s="8" t="s">
        <v>15</v>
      </c>
    </row>
    <row r="17" spans="1:4" x14ac:dyDescent="0.25">
      <c r="A17" s="9" t="s">
        <v>26</v>
      </c>
      <c r="B17" s="9">
        <v>15</v>
      </c>
      <c r="C17" s="8" t="s">
        <v>260</v>
      </c>
      <c r="D17" s="8" t="s">
        <v>15</v>
      </c>
    </row>
    <row r="18" spans="1:4" x14ac:dyDescent="0.25">
      <c r="A18" s="9" t="s">
        <v>26</v>
      </c>
      <c r="B18" s="9">
        <v>16</v>
      </c>
      <c r="C18" s="8" t="s">
        <v>261</v>
      </c>
      <c r="D18" s="8" t="s">
        <v>15</v>
      </c>
    </row>
    <row r="19" spans="1:4" x14ac:dyDescent="0.25">
      <c r="A19" s="9" t="s">
        <v>26</v>
      </c>
      <c r="B19" s="9">
        <v>17</v>
      </c>
      <c r="C19" s="8"/>
      <c r="D19" s="8" t="s">
        <v>15</v>
      </c>
    </row>
    <row r="20" spans="1:4" x14ac:dyDescent="0.25">
      <c r="A20" s="9" t="s">
        <v>26</v>
      </c>
      <c r="B20" s="9">
        <v>18</v>
      </c>
      <c r="C20" s="8" t="s">
        <v>262</v>
      </c>
      <c r="D20" s="8" t="s">
        <v>15</v>
      </c>
    </row>
    <row r="21" spans="1:4" x14ac:dyDescent="0.25">
      <c r="A21" s="9" t="s">
        <v>26</v>
      </c>
      <c r="B21" s="9">
        <v>19</v>
      </c>
      <c r="C21" s="8" t="s">
        <v>263</v>
      </c>
      <c r="D21" s="8" t="s">
        <v>15</v>
      </c>
    </row>
    <row r="22" spans="1:4" x14ac:dyDescent="0.25">
      <c r="A22" s="9" t="s">
        <v>26</v>
      </c>
      <c r="B22" s="9">
        <v>20</v>
      </c>
      <c r="C22" s="8" t="s">
        <v>264</v>
      </c>
      <c r="D22" s="8" t="s">
        <v>15</v>
      </c>
    </row>
    <row r="23" spans="1:4" x14ac:dyDescent="0.25">
      <c r="A23" s="9" t="s">
        <v>26</v>
      </c>
      <c r="B23" s="9" t="s">
        <v>267</v>
      </c>
      <c r="C23" s="8" t="s">
        <v>265</v>
      </c>
      <c r="D23" s="8" t="s">
        <v>15</v>
      </c>
    </row>
    <row r="24" spans="1:4" x14ac:dyDescent="0.25">
      <c r="A24" s="9" t="s">
        <v>26</v>
      </c>
      <c r="B24" s="9">
        <v>22</v>
      </c>
      <c r="C24" s="8" t="s">
        <v>266</v>
      </c>
      <c r="D24" s="8" t="s">
        <v>15</v>
      </c>
    </row>
    <row r="25" spans="1:4" x14ac:dyDescent="0.25">
      <c r="A25" s="9" t="s">
        <v>26</v>
      </c>
      <c r="B25" s="9">
        <v>23</v>
      </c>
      <c r="C25" s="8"/>
      <c r="D25" s="8" t="s">
        <v>15</v>
      </c>
    </row>
    <row r="26" spans="1:4" x14ac:dyDescent="0.25">
      <c r="A26" s="9" t="s">
        <v>26</v>
      </c>
      <c r="B26" s="9">
        <v>24</v>
      </c>
      <c r="C26" s="8"/>
      <c r="D26" s="8" t="s">
        <v>15</v>
      </c>
    </row>
    <row r="27" spans="1:4" x14ac:dyDescent="0.25">
      <c r="A27" s="9" t="s">
        <v>26</v>
      </c>
      <c r="B27" s="9">
        <v>25</v>
      </c>
      <c r="C27" s="8"/>
      <c r="D27" s="8" t="s">
        <v>15</v>
      </c>
    </row>
    <row r="28" spans="1:4" x14ac:dyDescent="0.25">
      <c r="A28" s="9" t="s">
        <v>26</v>
      </c>
      <c r="B28" s="9">
        <v>26</v>
      </c>
      <c r="C28" s="8"/>
      <c r="D28" s="8" t="s">
        <v>15</v>
      </c>
    </row>
    <row r="29" spans="1:4" x14ac:dyDescent="0.25">
      <c r="A29" s="9" t="s">
        <v>26</v>
      </c>
      <c r="B29" s="9">
        <v>27</v>
      </c>
      <c r="C29" s="8"/>
      <c r="D29" s="8" t="s">
        <v>15</v>
      </c>
    </row>
    <row r="30" spans="1:4" x14ac:dyDescent="0.25">
      <c r="A30" s="9" t="s">
        <v>26</v>
      </c>
      <c r="B30" s="9">
        <v>28</v>
      </c>
      <c r="C30" s="8"/>
      <c r="D30" s="8" t="s">
        <v>15</v>
      </c>
    </row>
    <row r="31" spans="1:4" x14ac:dyDescent="0.25">
      <c r="A31" s="9" t="s">
        <v>26</v>
      </c>
      <c r="B31" s="9">
        <v>29</v>
      </c>
      <c r="C31" s="8"/>
      <c r="D31" s="8" t="s">
        <v>15</v>
      </c>
    </row>
    <row r="32" spans="1:4" x14ac:dyDescent="0.25">
      <c r="A32" s="9" t="s">
        <v>26</v>
      </c>
      <c r="B32" s="9">
        <v>30</v>
      </c>
      <c r="C32" s="8"/>
      <c r="D32" s="8" t="s">
        <v>15</v>
      </c>
    </row>
    <row r="33" spans="1:4" x14ac:dyDescent="0.25">
      <c r="A33" s="9" t="s">
        <v>26</v>
      </c>
      <c r="B33" s="9">
        <v>31</v>
      </c>
      <c r="C33" s="8"/>
      <c r="D33" s="8" t="s">
        <v>15</v>
      </c>
    </row>
  </sheetData>
  <pageMargins left="0.7" right="0.7" top="0.75" bottom="0.75" header="0.3" footer="0.3"/>
  <pageSetup scale="140"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'Channel Functions'!$A$2:$A$4</xm:f>
          </x14:formula1>
          <xm:sqref>D2:D33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33"/>
  <sheetViews>
    <sheetView workbookViewId="0">
      <selection activeCell="F12" sqref="F12"/>
    </sheetView>
  </sheetViews>
  <sheetFormatPr defaultRowHeight="15" x14ac:dyDescent="0.25"/>
  <cols>
    <col min="1" max="1" width="9.140625" style="7"/>
    <col min="2" max="2" width="16.140625" bestFit="1" customWidth="1"/>
    <col min="3" max="3" width="16.42578125" customWidth="1"/>
    <col min="4" max="4" width="14.28515625" bestFit="1" customWidth="1"/>
  </cols>
  <sheetData>
    <row r="1" spans="1:4" ht="14.25" x14ac:dyDescent="0.45">
      <c r="A1" s="9" t="s">
        <v>1</v>
      </c>
      <c r="B1" s="8" t="s">
        <v>2</v>
      </c>
      <c r="C1" s="8" t="s">
        <v>0</v>
      </c>
      <c r="D1" s="8" t="s">
        <v>14</v>
      </c>
    </row>
    <row r="2" spans="1:4" ht="14.25" x14ac:dyDescent="0.45">
      <c r="A2" s="9" t="s">
        <v>27</v>
      </c>
      <c r="B2" s="9" t="s">
        <v>28</v>
      </c>
      <c r="C2" s="8"/>
      <c r="D2" s="8" t="s">
        <v>15</v>
      </c>
    </row>
    <row r="3" spans="1:4" ht="14.25" x14ac:dyDescent="0.45">
      <c r="A3" s="9" t="s">
        <v>27</v>
      </c>
      <c r="B3" s="9" t="s">
        <v>29</v>
      </c>
      <c r="C3" s="8"/>
      <c r="D3" s="8" t="s">
        <v>15</v>
      </c>
    </row>
    <row r="4" spans="1:4" ht="14.25" x14ac:dyDescent="0.45">
      <c r="A4" s="9" t="s">
        <v>27</v>
      </c>
      <c r="B4" s="9" t="s">
        <v>30</v>
      </c>
      <c r="C4" s="8"/>
      <c r="D4" s="8" t="s">
        <v>15</v>
      </c>
    </row>
    <row r="5" spans="1:4" ht="14.25" x14ac:dyDescent="0.45">
      <c r="A5" s="9" t="s">
        <v>27</v>
      </c>
      <c r="B5" s="9" t="s">
        <v>31</v>
      </c>
      <c r="C5" s="8"/>
      <c r="D5" s="8" t="s">
        <v>15</v>
      </c>
    </row>
    <row r="6" spans="1:4" ht="14.25" x14ac:dyDescent="0.45">
      <c r="A6" s="9" t="s">
        <v>27</v>
      </c>
      <c r="B6" s="9" t="s">
        <v>32</v>
      </c>
      <c r="C6" s="8"/>
      <c r="D6" s="8" t="s">
        <v>15</v>
      </c>
    </row>
    <row r="7" spans="1:4" ht="14.25" x14ac:dyDescent="0.45">
      <c r="A7" s="9" t="s">
        <v>27</v>
      </c>
      <c r="B7" s="9" t="s">
        <v>23</v>
      </c>
      <c r="C7" s="8"/>
      <c r="D7" s="8" t="s">
        <v>15</v>
      </c>
    </row>
    <row r="8" spans="1:4" ht="14.25" x14ac:dyDescent="0.45">
      <c r="A8" s="9" t="s">
        <v>27</v>
      </c>
      <c r="B8" s="9" t="s">
        <v>24</v>
      </c>
      <c r="C8" s="8"/>
      <c r="D8" s="8" t="s">
        <v>15</v>
      </c>
    </row>
    <row r="9" spans="1:4" ht="14.25" x14ac:dyDescent="0.45">
      <c r="A9" s="9" t="s">
        <v>27</v>
      </c>
      <c r="B9" s="9" t="s">
        <v>25</v>
      </c>
      <c r="C9" s="8"/>
      <c r="D9" s="8" t="s">
        <v>15</v>
      </c>
    </row>
    <row r="10" spans="1:4" ht="14.25" x14ac:dyDescent="0.45">
      <c r="A10" s="9" t="s">
        <v>27</v>
      </c>
      <c r="B10" s="9" t="s">
        <v>26</v>
      </c>
      <c r="C10" s="8"/>
      <c r="D10" s="8" t="s">
        <v>15</v>
      </c>
    </row>
    <row r="11" spans="1:4" ht="14.25" x14ac:dyDescent="0.45">
      <c r="A11" s="9" t="s">
        <v>27</v>
      </c>
      <c r="B11" s="9" t="s">
        <v>27</v>
      </c>
      <c r="C11" s="8"/>
      <c r="D11" s="8" t="s">
        <v>15</v>
      </c>
    </row>
    <row r="12" spans="1:4" ht="14.25" x14ac:dyDescent="0.45">
      <c r="A12" s="9" t="s">
        <v>27</v>
      </c>
      <c r="B12" s="9">
        <v>10</v>
      </c>
      <c r="C12" s="8"/>
      <c r="D12" s="8" t="s">
        <v>15</v>
      </c>
    </row>
    <row r="13" spans="1:4" ht="14.25" x14ac:dyDescent="0.45">
      <c r="A13" s="9" t="s">
        <v>27</v>
      </c>
      <c r="B13" s="9">
        <v>11</v>
      </c>
      <c r="C13" s="8"/>
      <c r="D13" s="8" t="s">
        <v>15</v>
      </c>
    </row>
    <row r="14" spans="1:4" ht="14.25" x14ac:dyDescent="0.45">
      <c r="A14" s="9" t="s">
        <v>27</v>
      </c>
      <c r="B14" s="9">
        <v>12</v>
      </c>
      <c r="C14" s="8"/>
      <c r="D14" s="8" t="s">
        <v>15</v>
      </c>
    </row>
    <row r="15" spans="1:4" ht="14.25" x14ac:dyDescent="0.45">
      <c r="A15" s="9" t="s">
        <v>27</v>
      </c>
      <c r="B15" s="9">
        <v>13</v>
      </c>
      <c r="C15" s="8"/>
      <c r="D15" s="8" t="s">
        <v>15</v>
      </c>
    </row>
    <row r="16" spans="1:4" ht="14.25" x14ac:dyDescent="0.45">
      <c r="A16" s="9" t="s">
        <v>27</v>
      </c>
      <c r="B16" s="9">
        <v>14</v>
      </c>
      <c r="C16" s="8"/>
      <c r="D16" s="8" t="s">
        <v>15</v>
      </c>
    </row>
    <row r="17" spans="1:4" ht="14.25" x14ac:dyDescent="0.45">
      <c r="A17" s="9" t="s">
        <v>27</v>
      </c>
      <c r="B17" s="9">
        <v>15</v>
      </c>
      <c r="C17" s="8"/>
      <c r="D17" s="8" t="s">
        <v>15</v>
      </c>
    </row>
    <row r="18" spans="1:4" ht="14.25" x14ac:dyDescent="0.45">
      <c r="A18" s="9" t="s">
        <v>27</v>
      </c>
      <c r="B18" s="9">
        <v>16</v>
      </c>
      <c r="C18" s="8"/>
      <c r="D18" s="8" t="s">
        <v>15</v>
      </c>
    </row>
    <row r="19" spans="1:4" ht="14.25" x14ac:dyDescent="0.45">
      <c r="A19" s="9" t="s">
        <v>27</v>
      </c>
      <c r="B19" s="9">
        <v>17</v>
      </c>
      <c r="C19" s="8"/>
      <c r="D19" s="8" t="s">
        <v>15</v>
      </c>
    </row>
    <row r="20" spans="1:4" ht="14.25" x14ac:dyDescent="0.45">
      <c r="A20" s="9" t="s">
        <v>27</v>
      </c>
      <c r="B20" s="9">
        <v>18</v>
      </c>
      <c r="C20" s="8"/>
      <c r="D20" s="8" t="s">
        <v>15</v>
      </c>
    </row>
    <row r="21" spans="1:4" ht="14.25" x14ac:dyDescent="0.45">
      <c r="A21" s="9" t="s">
        <v>27</v>
      </c>
      <c r="B21" s="9">
        <v>19</v>
      </c>
      <c r="C21" s="8"/>
      <c r="D21" s="8" t="s">
        <v>15</v>
      </c>
    </row>
    <row r="22" spans="1:4" ht="14.25" x14ac:dyDescent="0.45">
      <c r="A22" s="9" t="s">
        <v>27</v>
      </c>
      <c r="B22" s="9">
        <v>20</v>
      </c>
      <c r="C22" s="8"/>
      <c r="D22" s="8" t="s">
        <v>15</v>
      </c>
    </row>
    <row r="23" spans="1:4" ht="14.25" x14ac:dyDescent="0.45">
      <c r="A23" s="9" t="s">
        <v>27</v>
      </c>
      <c r="B23" s="9">
        <v>21</v>
      </c>
      <c r="C23" s="8"/>
      <c r="D23" s="8" t="s">
        <v>15</v>
      </c>
    </row>
    <row r="24" spans="1:4" ht="14.25" x14ac:dyDescent="0.45">
      <c r="A24" s="9" t="s">
        <v>27</v>
      </c>
      <c r="B24" s="9">
        <v>22</v>
      </c>
      <c r="C24" s="8"/>
      <c r="D24" s="8" t="s">
        <v>15</v>
      </c>
    </row>
    <row r="25" spans="1:4" ht="14.25" x14ac:dyDescent="0.45">
      <c r="A25" s="9" t="s">
        <v>27</v>
      </c>
      <c r="B25" s="9">
        <v>23</v>
      </c>
      <c r="C25" s="8"/>
      <c r="D25" s="8" t="s">
        <v>15</v>
      </c>
    </row>
    <row r="26" spans="1:4" ht="14.25" x14ac:dyDescent="0.45">
      <c r="A26" s="9" t="s">
        <v>27</v>
      </c>
      <c r="B26" s="9">
        <v>24</v>
      </c>
      <c r="C26" s="8"/>
      <c r="D26" s="8" t="s">
        <v>15</v>
      </c>
    </row>
    <row r="27" spans="1:4" x14ac:dyDescent="0.25">
      <c r="A27" s="9" t="s">
        <v>27</v>
      </c>
      <c r="B27" s="9">
        <v>25</v>
      </c>
      <c r="C27" s="8"/>
      <c r="D27" s="8" t="s">
        <v>15</v>
      </c>
    </row>
    <row r="28" spans="1:4" x14ac:dyDescent="0.25">
      <c r="A28" s="9" t="s">
        <v>27</v>
      </c>
      <c r="B28" s="9">
        <v>26</v>
      </c>
      <c r="C28" s="8"/>
      <c r="D28" s="8" t="s">
        <v>15</v>
      </c>
    </row>
    <row r="29" spans="1:4" x14ac:dyDescent="0.25">
      <c r="A29" s="9" t="s">
        <v>27</v>
      </c>
      <c r="B29" s="9">
        <v>27</v>
      </c>
      <c r="C29" s="8"/>
      <c r="D29" s="8" t="s">
        <v>15</v>
      </c>
    </row>
    <row r="30" spans="1:4" x14ac:dyDescent="0.25">
      <c r="A30" s="9" t="s">
        <v>27</v>
      </c>
      <c r="B30" s="9">
        <v>28</v>
      </c>
      <c r="C30" s="8"/>
      <c r="D30" s="8" t="s">
        <v>15</v>
      </c>
    </row>
    <row r="31" spans="1:4" x14ac:dyDescent="0.25">
      <c r="A31" s="9" t="s">
        <v>27</v>
      </c>
      <c r="B31" s="9">
        <v>29</v>
      </c>
      <c r="C31" s="8"/>
      <c r="D31" s="8" t="s">
        <v>15</v>
      </c>
    </row>
    <row r="32" spans="1:4" x14ac:dyDescent="0.25">
      <c r="A32" s="9" t="s">
        <v>27</v>
      </c>
      <c r="B32" s="9">
        <v>30</v>
      </c>
      <c r="C32" s="8"/>
      <c r="D32" s="8" t="s">
        <v>15</v>
      </c>
    </row>
    <row r="33" spans="1:4" x14ac:dyDescent="0.25">
      <c r="A33" s="9" t="s">
        <v>27</v>
      </c>
      <c r="B33" s="9">
        <v>31</v>
      </c>
      <c r="C33" s="8"/>
      <c r="D33" s="8" t="s">
        <v>15</v>
      </c>
    </row>
  </sheetData>
  <pageMargins left="0.7" right="0.7" top="0.75" bottom="0.75" header="0.3" footer="0.3"/>
  <pageSetup scale="140"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'Channel Functions'!$A$2:$A$4</xm:f>
          </x14:formula1>
          <xm:sqref>D2:D33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33"/>
  <sheetViews>
    <sheetView workbookViewId="0">
      <selection activeCell="G14" sqref="G14"/>
    </sheetView>
  </sheetViews>
  <sheetFormatPr defaultRowHeight="15" x14ac:dyDescent="0.25"/>
  <cols>
    <col min="1" max="1" width="9.140625" style="3"/>
    <col min="2" max="2" width="16.140625" bestFit="1" customWidth="1"/>
    <col min="3" max="3" width="16.42578125" customWidth="1"/>
    <col min="4" max="4" width="16.140625" bestFit="1" customWidth="1"/>
  </cols>
  <sheetData>
    <row r="1" spans="1:4" x14ac:dyDescent="0.45">
      <c r="A1" s="10" t="s">
        <v>1</v>
      </c>
      <c r="B1" s="8" t="s">
        <v>2</v>
      </c>
      <c r="C1" s="8" t="s">
        <v>0</v>
      </c>
      <c r="D1" s="8" t="s">
        <v>14</v>
      </c>
    </row>
    <row r="2" spans="1:4" x14ac:dyDescent="0.45">
      <c r="A2" s="10">
        <v>10</v>
      </c>
      <c r="B2" s="9" t="s">
        <v>28</v>
      </c>
      <c r="C2" s="8"/>
      <c r="D2" s="8" t="s">
        <v>15</v>
      </c>
    </row>
    <row r="3" spans="1:4" x14ac:dyDescent="0.45">
      <c r="A3" s="10">
        <v>10</v>
      </c>
      <c r="B3" s="9" t="s">
        <v>29</v>
      </c>
      <c r="C3" s="8"/>
      <c r="D3" s="8" t="s">
        <v>15</v>
      </c>
    </row>
    <row r="4" spans="1:4" x14ac:dyDescent="0.45">
      <c r="A4" s="10">
        <v>10</v>
      </c>
      <c r="B4" s="9" t="s">
        <v>30</v>
      </c>
      <c r="C4" s="8"/>
      <c r="D4" s="8" t="s">
        <v>15</v>
      </c>
    </row>
    <row r="5" spans="1:4" x14ac:dyDescent="0.45">
      <c r="A5" s="10">
        <v>10</v>
      </c>
      <c r="B5" s="9" t="s">
        <v>31</v>
      </c>
      <c r="C5" s="8"/>
      <c r="D5" s="8" t="s">
        <v>15</v>
      </c>
    </row>
    <row r="6" spans="1:4" x14ac:dyDescent="0.45">
      <c r="A6" s="10">
        <v>10</v>
      </c>
      <c r="B6" s="9" t="s">
        <v>32</v>
      </c>
      <c r="C6" s="8"/>
      <c r="D6" s="8" t="s">
        <v>15</v>
      </c>
    </row>
    <row r="7" spans="1:4" x14ac:dyDescent="0.45">
      <c r="A7" s="10">
        <v>10</v>
      </c>
      <c r="B7" s="9" t="s">
        <v>23</v>
      </c>
      <c r="C7" s="8"/>
      <c r="D7" s="8" t="s">
        <v>15</v>
      </c>
    </row>
    <row r="8" spans="1:4" x14ac:dyDescent="0.45">
      <c r="A8" s="10">
        <v>10</v>
      </c>
      <c r="B8" s="9" t="s">
        <v>24</v>
      </c>
      <c r="C8" s="8"/>
      <c r="D8" s="8" t="s">
        <v>15</v>
      </c>
    </row>
    <row r="9" spans="1:4" x14ac:dyDescent="0.45">
      <c r="A9" s="10">
        <v>10</v>
      </c>
      <c r="B9" s="9" t="s">
        <v>25</v>
      </c>
      <c r="C9" s="8"/>
      <c r="D9" s="8" t="s">
        <v>15</v>
      </c>
    </row>
    <row r="10" spans="1:4" x14ac:dyDescent="0.45">
      <c r="A10" s="10">
        <v>10</v>
      </c>
      <c r="B10" s="9" t="s">
        <v>26</v>
      </c>
      <c r="C10" s="8"/>
      <c r="D10" s="8" t="s">
        <v>15</v>
      </c>
    </row>
    <row r="11" spans="1:4" x14ac:dyDescent="0.45">
      <c r="A11" s="10">
        <v>10</v>
      </c>
      <c r="B11" s="9" t="s">
        <v>27</v>
      </c>
      <c r="C11" s="8"/>
      <c r="D11" s="8" t="s">
        <v>15</v>
      </c>
    </row>
    <row r="12" spans="1:4" x14ac:dyDescent="0.45">
      <c r="A12" s="10">
        <v>10</v>
      </c>
      <c r="B12" s="9">
        <v>10</v>
      </c>
      <c r="C12" s="8"/>
      <c r="D12" s="8" t="s">
        <v>15</v>
      </c>
    </row>
    <row r="13" spans="1:4" x14ac:dyDescent="0.45">
      <c r="A13" s="10">
        <v>10</v>
      </c>
      <c r="B13" s="9">
        <v>11</v>
      </c>
      <c r="C13" s="8"/>
      <c r="D13" s="8" t="s">
        <v>15</v>
      </c>
    </row>
    <row r="14" spans="1:4" x14ac:dyDescent="0.45">
      <c r="A14" s="10">
        <v>10</v>
      </c>
      <c r="B14" s="9">
        <v>12</v>
      </c>
      <c r="C14" s="8"/>
      <c r="D14" s="8" t="s">
        <v>15</v>
      </c>
    </row>
    <row r="15" spans="1:4" x14ac:dyDescent="0.45">
      <c r="A15" s="10">
        <v>10</v>
      </c>
      <c r="B15" s="9">
        <v>13</v>
      </c>
      <c r="C15" s="8"/>
      <c r="D15" s="8" t="s">
        <v>15</v>
      </c>
    </row>
    <row r="16" spans="1:4" x14ac:dyDescent="0.45">
      <c r="A16" s="10">
        <v>10</v>
      </c>
      <c r="B16" s="9">
        <v>14</v>
      </c>
      <c r="C16" s="8"/>
      <c r="D16" s="8" t="s">
        <v>15</v>
      </c>
    </row>
    <row r="17" spans="1:4" x14ac:dyDescent="0.45">
      <c r="A17" s="10">
        <v>10</v>
      </c>
      <c r="B17" s="9">
        <v>15</v>
      </c>
      <c r="C17" s="8"/>
      <c r="D17" s="8" t="s">
        <v>15</v>
      </c>
    </row>
    <row r="18" spans="1:4" x14ac:dyDescent="0.45">
      <c r="A18" s="10">
        <v>10</v>
      </c>
      <c r="B18" s="9">
        <v>16</v>
      </c>
      <c r="C18" s="8"/>
      <c r="D18" s="8" t="s">
        <v>15</v>
      </c>
    </row>
    <row r="19" spans="1:4" x14ac:dyDescent="0.45">
      <c r="A19" s="10">
        <v>10</v>
      </c>
      <c r="B19" s="9">
        <v>17</v>
      </c>
      <c r="C19" s="8"/>
      <c r="D19" s="8" t="s">
        <v>15</v>
      </c>
    </row>
    <row r="20" spans="1:4" x14ac:dyDescent="0.45">
      <c r="A20" s="10">
        <v>10</v>
      </c>
      <c r="B20" s="9">
        <v>18</v>
      </c>
      <c r="C20" s="8"/>
      <c r="D20" s="8" t="s">
        <v>15</v>
      </c>
    </row>
    <row r="21" spans="1:4" x14ac:dyDescent="0.45">
      <c r="A21" s="10">
        <v>10</v>
      </c>
      <c r="B21" s="9">
        <v>19</v>
      </c>
      <c r="C21" s="8"/>
      <c r="D21" s="8" t="s">
        <v>33</v>
      </c>
    </row>
    <row r="22" spans="1:4" x14ac:dyDescent="0.45">
      <c r="A22" s="10">
        <v>10</v>
      </c>
      <c r="B22" s="9">
        <v>20</v>
      </c>
      <c r="C22" s="8"/>
      <c r="D22" s="8" t="s">
        <v>33</v>
      </c>
    </row>
    <row r="23" spans="1:4" x14ac:dyDescent="0.45">
      <c r="A23" s="10">
        <v>10</v>
      </c>
      <c r="B23" s="9">
        <v>21</v>
      </c>
      <c r="C23" s="8"/>
      <c r="D23" s="8" t="s">
        <v>33</v>
      </c>
    </row>
    <row r="24" spans="1:4" x14ac:dyDescent="0.45">
      <c r="A24" s="10">
        <v>10</v>
      </c>
      <c r="B24" s="9">
        <v>22</v>
      </c>
      <c r="C24" s="8"/>
      <c r="D24" s="8" t="s">
        <v>33</v>
      </c>
    </row>
    <row r="25" spans="1:4" x14ac:dyDescent="0.45">
      <c r="A25" s="10">
        <v>10</v>
      </c>
      <c r="B25" s="9">
        <v>23</v>
      </c>
      <c r="C25" s="8"/>
      <c r="D25" s="8" t="s">
        <v>33</v>
      </c>
    </row>
    <row r="26" spans="1:4" x14ac:dyDescent="0.45">
      <c r="A26" s="10">
        <v>10</v>
      </c>
      <c r="B26" s="9">
        <v>24</v>
      </c>
      <c r="C26" s="8"/>
      <c r="D26" s="8" t="s">
        <v>33</v>
      </c>
    </row>
    <row r="27" spans="1:4" x14ac:dyDescent="0.45">
      <c r="A27" s="10">
        <v>10</v>
      </c>
      <c r="B27" s="9">
        <v>25</v>
      </c>
      <c r="C27" s="8"/>
      <c r="D27" s="8" t="s">
        <v>33</v>
      </c>
    </row>
    <row r="28" spans="1:4" x14ac:dyDescent="0.45">
      <c r="A28" s="10">
        <v>10</v>
      </c>
      <c r="B28" s="9">
        <v>26</v>
      </c>
      <c r="C28" s="8"/>
      <c r="D28" s="8" t="s">
        <v>33</v>
      </c>
    </row>
    <row r="29" spans="1:4" x14ac:dyDescent="0.45">
      <c r="A29" s="10">
        <v>10</v>
      </c>
      <c r="B29" s="9">
        <v>27</v>
      </c>
      <c r="C29" s="8"/>
      <c r="D29" s="8" t="s">
        <v>33</v>
      </c>
    </row>
    <row r="30" spans="1:4" x14ac:dyDescent="0.45">
      <c r="A30" s="10">
        <v>10</v>
      </c>
      <c r="B30" s="9">
        <v>28</v>
      </c>
      <c r="C30" s="8"/>
      <c r="D30" s="8" t="s">
        <v>33</v>
      </c>
    </row>
    <row r="31" spans="1:4" x14ac:dyDescent="0.45">
      <c r="A31" s="10">
        <v>10</v>
      </c>
      <c r="B31" s="9">
        <v>29</v>
      </c>
      <c r="C31" s="8"/>
      <c r="D31" s="8" t="s">
        <v>33</v>
      </c>
    </row>
    <row r="32" spans="1:4" x14ac:dyDescent="0.45">
      <c r="A32" s="10">
        <v>10</v>
      </c>
      <c r="B32" s="9">
        <v>30</v>
      </c>
      <c r="C32" s="8"/>
      <c r="D32" s="8" t="s">
        <v>33</v>
      </c>
    </row>
    <row r="33" spans="1:4" x14ac:dyDescent="0.45">
      <c r="A33" s="10">
        <v>10</v>
      </c>
      <c r="B33" s="9">
        <v>31</v>
      </c>
      <c r="C33" s="8"/>
      <c r="D33" s="8" t="s">
        <v>118</v>
      </c>
    </row>
  </sheetData>
  <pageMargins left="0.7" right="0.7" top="0.75" bottom="0.75" header="0.3" footer="0.3"/>
  <pageSetup scale="140"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'Channel Functions'!$A$2:$A$8</xm:f>
          </x14:formula1>
          <xm:sqref>D2:D33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33"/>
  <sheetViews>
    <sheetView workbookViewId="0">
      <selection activeCell="G11" sqref="G11"/>
    </sheetView>
  </sheetViews>
  <sheetFormatPr defaultRowHeight="15" x14ac:dyDescent="0.25"/>
  <cols>
    <col min="1" max="1" width="9.140625" style="3"/>
    <col min="2" max="2" width="16.140625" bestFit="1" customWidth="1"/>
    <col min="3" max="3" width="16.42578125" customWidth="1"/>
    <col min="4" max="4" width="16.140625" bestFit="1" customWidth="1"/>
  </cols>
  <sheetData>
    <row r="1" spans="1:4" ht="14.25" x14ac:dyDescent="0.45">
      <c r="A1" s="10" t="s">
        <v>1</v>
      </c>
      <c r="B1" s="8" t="s">
        <v>2</v>
      </c>
      <c r="C1" s="8" t="s">
        <v>0</v>
      </c>
      <c r="D1" s="8" t="s">
        <v>14</v>
      </c>
    </row>
    <row r="2" spans="1:4" ht="14.25" x14ac:dyDescent="0.45">
      <c r="A2" s="10">
        <v>11</v>
      </c>
      <c r="B2" s="9" t="s">
        <v>28</v>
      </c>
      <c r="C2" s="8"/>
      <c r="D2" s="8" t="s">
        <v>16</v>
      </c>
    </row>
    <row r="3" spans="1:4" ht="14.25" x14ac:dyDescent="0.45">
      <c r="A3" s="10">
        <v>11</v>
      </c>
      <c r="B3" s="9" t="s">
        <v>29</v>
      </c>
      <c r="C3" s="8"/>
      <c r="D3" s="8" t="s">
        <v>16</v>
      </c>
    </row>
    <row r="4" spans="1:4" ht="14.25" x14ac:dyDescent="0.45">
      <c r="A4" s="10">
        <v>11</v>
      </c>
      <c r="B4" s="9" t="s">
        <v>30</v>
      </c>
      <c r="C4" s="8"/>
      <c r="D4" s="8" t="s">
        <v>16</v>
      </c>
    </row>
    <row r="5" spans="1:4" ht="14.25" x14ac:dyDescent="0.45">
      <c r="A5" s="10">
        <v>11</v>
      </c>
      <c r="B5" s="9" t="s">
        <v>31</v>
      </c>
      <c r="C5" s="8"/>
      <c r="D5" s="8" t="s">
        <v>16</v>
      </c>
    </row>
    <row r="6" spans="1:4" ht="14.25" x14ac:dyDescent="0.45">
      <c r="A6" s="10">
        <v>11</v>
      </c>
      <c r="B6" s="9" t="s">
        <v>32</v>
      </c>
      <c r="C6" s="8"/>
      <c r="D6" s="8" t="s">
        <v>16</v>
      </c>
    </row>
    <row r="7" spans="1:4" ht="14.25" x14ac:dyDescent="0.45">
      <c r="A7" s="10">
        <v>11</v>
      </c>
      <c r="B7" s="9" t="s">
        <v>23</v>
      </c>
      <c r="C7" s="8"/>
      <c r="D7" s="8" t="s">
        <v>16</v>
      </c>
    </row>
    <row r="8" spans="1:4" ht="14.25" x14ac:dyDescent="0.45">
      <c r="A8" s="10">
        <v>11</v>
      </c>
      <c r="B8" s="9" t="s">
        <v>24</v>
      </c>
      <c r="C8" s="8"/>
      <c r="D8" s="8" t="s">
        <v>16</v>
      </c>
    </row>
    <row r="9" spans="1:4" ht="14.25" x14ac:dyDescent="0.45">
      <c r="A9" s="10">
        <v>11</v>
      </c>
      <c r="B9" s="9" t="s">
        <v>25</v>
      </c>
      <c r="C9" s="8"/>
      <c r="D9" s="8" t="s">
        <v>16</v>
      </c>
    </row>
    <row r="10" spans="1:4" ht="14.25" x14ac:dyDescent="0.45">
      <c r="A10" s="10">
        <v>11</v>
      </c>
      <c r="B10" s="9" t="s">
        <v>26</v>
      </c>
      <c r="C10" s="8"/>
      <c r="D10" s="8" t="s">
        <v>16</v>
      </c>
    </row>
    <row r="11" spans="1:4" ht="14.25" x14ac:dyDescent="0.45">
      <c r="A11" s="10">
        <v>11</v>
      </c>
      <c r="B11" s="9" t="s">
        <v>27</v>
      </c>
      <c r="C11" s="8"/>
      <c r="D11" s="8" t="s">
        <v>16</v>
      </c>
    </row>
    <row r="12" spans="1:4" ht="14.25" x14ac:dyDescent="0.45">
      <c r="A12" s="10">
        <v>11</v>
      </c>
      <c r="B12" s="9">
        <v>10</v>
      </c>
      <c r="C12" s="8"/>
      <c r="D12" s="8" t="s">
        <v>16</v>
      </c>
    </row>
    <row r="13" spans="1:4" ht="14.25" x14ac:dyDescent="0.45">
      <c r="A13" s="10">
        <v>11</v>
      </c>
      <c r="B13" s="9">
        <v>11</v>
      </c>
      <c r="C13" s="8"/>
      <c r="D13" s="8" t="s">
        <v>16</v>
      </c>
    </row>
    <row r="14" spans="1:4" ht="14.25" x14ac:dyDescent="0.45">
      <c r="A14" s="10">
        <v>11</v>
      </c>
      <c r="B14" s="9">
        <v>12</v>
      </c>
      <c r="C14" s="8"/>
      <c r="D14" s="8" t="s">
        <v>16</v>
      </c>
    </row>
    <row r="15" spans="1:4" ht="14.25" x14ac:dyDescent="0.45">
      <c r="A15" s="10">
        <v>11</v>
      </c>
      <c r="B15" s="9">
        <v>13</v>
      </c>
      <c r="C15" s="8"/>
      <c r="D15" s="8" t="s">
        <v>16</v>
      </c>
    </row>
    <row r="16" spans="1:4" ht="14.25" x14ac:dyDescent="0.45">
      <c r="A16" s="10">
        <v>11</v>
      </c>
      <c r="B16" s="9">
        <v>14</v>
      </c>
      <c r="C16" s="8"/>
      <c r="D16" s="8" t="s">
        <v>16</v>
      </c>
    </row>
    <row r="17" spans="1:4" ht="14.25" x14ac:dyDescent="0.45">
      <c r="A17" s="10">
        <v>11</v>
      </c>
      <c r="B17" s="9">
        <v>15</v>
      </c>
      <c r="C17" s="8"/>
      <c r="D17" s="8" t="s">
        <v>16</v>
      </c>
    </row>
    <row r="18" spans="1:4" ht="14.25" x14ac:dyDescent="0.45">
      <c r="A18" s="10">
        <v>11</v>
      </c>
      <c r="B18" s="9">
        <v>16</v>
      </c>
      <c r="C18" s="8"/>
      <c r="D18" s="8" t="s">
        <v>16</v>
      </c>
    </row>
    <row r="19" spans="1:4" ht="14.25" x14ac:dyDescent="0.45">
      <c r="A19" s="10">
        <v>11</v>
      </c>
      <c r="B19" s="9">
        <v>17</v>
      </c>
      <c r="C19" s="8"/>
      <c r="D19" s="8" t="s">
        <v>16</v>
      </c>
    </row>
    <row r="20" spans="1:4" ht="14.25" x14ac:dyDescent="0.45">
      <c r="A20" s="10">
        <v>11</v>
      </c>
      <c r="B20" s="9">
        <v>18</v>
      </c>
      <c r="C20" s="8"/>
      <c r="D20" s="8" t="s">
        <v>16</v>
      </c>
    </row>
    <row r="21" spans="1:4" ht="14.25" x14ac:dyDescent="0.45">
      <c r="A21" s="10">
        <v>11</v>
      </c>
      <c r="B21" s="9">
        <v>19</v>
      </c>
      <c r="C21" s="8"/>
      <c r="D21" s="8" t="s">
        <v>16</v>
      </c>
    </row>
    <row r="22" spans="1:4" ht="14.25" x14ac:dyDescent="0.45">
      <c r="A22" s="10">
        <v>11</v>
      </c>
      <c r="B22" s="9">
        <v>20</v>
      </c>
      <c r="C22" s="8"/>
      <c r="D22" s="8" t="s">
        <v>16</v>
      </c>
    </row>
    <row r="23" spans="1:4" ht="14.25" x14ac:dyDescent="0.45">
      <c r="A23" s="10">
        <v>11</v>
      </c>
      <c r="B23" s="9">
        <v>21</v>
      </c>
      <c r="C23" s="8"/>
      <c r="D23" s="8" t="s">
        <v>16</v>
      </c>
    </row>
    <row r="24" spans="1:4" ht="14.25" x14ac:dyDescent="0.45">
      <c r="A24" s="10">
        <v>11</v>
      </c>
      <c r="B24" s="9">
        <v>22</v>
      </c>
      <c r="C24" s="8"/>
      <c r="D24" s="8" t="s">
        <v>16</v>
      </c>
    </row>
    <row r="25" spans="1:4" ht="14.25" x14ac:dyDescent="0.45">
      <c r="A25" s="10">
        <v>11</v>
      </c>
      <c r="B25" s="9">
        <v>23</v>
      </c>
      <c r="C25" s="8"/>
      <c r="D25" s="8" t="s">
        <v>16</v>
      </c>
    </row>
    <row r="26" spans="1:4" ht="14.25" x14ac:dyDescent="0.45">
      <c r="A26" s="10">
        <v>11</v>
      </c>
      <c r="B26" s="9">
        <v>24</v>
      </c>
      <c r="C26" s="8"/>
      <c r="D26" s="8" t="s">
        <v>16</v>
      </c>
    </row>
    <row r="27" spans="1:4" x14ac:dyDescent="0.25">
      <c r="A27" s="10">
        <v>11</v>
      </c>
      <c r="B27" s="9">
        <v>25</v>
      </c>
      <c r="C27" s="8"/>
      <c r="D27" s="8" t="s">
        <v>16</v>
      </c>
    </row>
    <row r="28" spans="1:4" x14ac:dyDescent="0.25">
      <c r="A28" s="10">
        <v>11</v>
      </c>
      <c r="B28" s="9">
        <v>26</v>
      </c>
      <c r="C28" s="8"/>
      <c r="D28" s="8" t="s">
        <v>16</v>
      </c>
    </row>
    <row r="29" spans="1:4" x14ac:dyDescent="0.25">
      <c r="A29" s="10">
        <v>11</v>
      </c>
      <c r="B29" s="9">
        <v>27</v>
      </c>
      <c r="C29" s="8"/>
      <c r="D29" s="8" t="s">
        <v>16</v>
      </c>
    </row>
    <row r="30" spans="1:4" x14ac:dyDescent="0.25">
      <c r="A30" s="10">
        <v>11</v>
      </c>
      <c r="B30" s="9">
        <v>28</v>
      </c>
      <c r="C30" s="8"/>
      <c r="D30" s="8" t="s">
        <v>16</v>
      </c>
    </row>
    <row r="31" spans="1:4" x14ac:dyDescent="0.25">
      <c r="A31" s="10">
        <v>11</v>
      </c>
      <c r="B31" s="9">
        <v>29</v>
      </c>
      <c r="C31" s="8"/>
      <c r="D31" s="8" t="s">
        <v>16</v>
      </c>
    </row>
    <row r="32" spans="1:4" x14ac:dyDescent="0.25">
      <c r="A32" s="10">
        <v>11</v>
      </c>
      <c r="B32" s="9">
        <v>30</v>
      </c>
      <c r="C32" s="8"/>
      <c r="D32" s="8" t="s">
        <v>16</v>
      </c>
    </row>
    <row r="33" spans="1:4" x14ac:dyDescent="0.25">
      <c r="A33" s="10">
        <v>11</v>
      </c>
      <c r="B33" s="9">
        <v>31</v>
      </c>
      <c r="C33" s="8"/>
      <c r="D33" s="8" t="s">
        <v>16</v>
      </c>
    </row>
  </sheetData>
  <pageMargins left="0.7" right="0.7" top="0.75" bottom="0.75" header="0.3" footer="0.3"/>
  <pageSetup scale="140"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'Channel Functions'!$A$2:$A$4</xm:f>
          </x14:formula1>
          <xm:sqref>D2:D33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33"/>
  <sheetViews>
    <sheetView workbookViewId="0">
      <selection activeCell="O19" sqref="O19"/>
    </sheetView>
  </sheetViews>
  <sheetFormatPr defaultRowHeight="15" x14ac:dyDescent="0.25"/>
  <cols>
    <col min="1" max="1" width="9.140625" style="3"/>
    <col min="2" max="2" width="16.140625" bestFit="1" customWidth="1"/>
    <col min="3" max="3" width="16.42578125" customWidth="1"/>
    <col min="4" max="4" width="16.28515625" customWidth="1"/>
  </cols>
  <sheetData>
    <row r="1" spans="1:4" ht="14.25" x14ac:dyDescent="0.45">
      <c r="A1" s="10" t="s">
        <v>1</v>
      </c>
      <c r="B1" s="8" t="s">
        <v>2</v>
      </c>
      <c r="C1" s="8" t="s">
        <v>0</v>
      </c>
      <c r="D1" s="8" t="s">
        <v>14</v>
      </c>
    </row>
    <row r="2" spans="1:4" x14ac:dyDescent="0.25">
      <c r="A2" s="10">
        <v>12</v>
      </c>
      <c r="B2" s="9" t="s">
        <v>28</v>
      </c>
      <c r="C2" s="8" t="s">
        <v>221</v>
      </c>
      <c r="D2" s="8" t="s">
        <v>16</v>
      </c>
    </row>
    <row r="3" spans="1:4" x14ac:dyDescent="0.25">
      <c r="A3" s="10">
        <v>12</v>
      </c>
      <c r="B3" s="9" t="s">
        <v>29</v>
      </c>
      <c r="C3" s="8" t="s">
        <v>222</v>
      </c>
      <c r="D3" s="8" t="s">
        <v>16</v>
      </c>
    </row>
    <row r="4" spans="1:4" x14ac:dyDescent="0.25">
      <c r="A4" s="10">
        <v>12</v>
      </c>
      <c r="B4" s="9" t="s">
        <v>30</v>
      </c>
      <c r="C4" s="8" t="s">
        <v>223</v>
      </c>
      <c r="D4" s="8" t="s">
        <v>16</v>
      </c>
    </row>
    <row r="5" spans="1:4" x14ac:dyDescent="0.25">
      <c r="A5" s="10">
        <v>12</v>
      </c>
      <c r="B5" s="9" t="s">
        <v>31</v>
      </c>
      <c r="C5" s="8" t="s">
        <v>224</v>
      </c>
      <c r="D5" s="8" t="s">
        <v>16</v>
      </c>
    </row>
    <row r="6" spans="1:4" x14ac:dyDescent="0.25">
      <c r="A6" s="10">
        <v>12</v>
      </c>
      <c r="B6" s="9" t="s">
        <v>32</v>
      </c>
      <c r="C6" s="8" t="s">
        <v>225</v>
      </c>
      <c r="D6" s="8" t="s">
        <v>16</v>
      </c>
    </row>
    <row r="7" spans="1:4" x14ac:dyDescent="0.25">
      <c r="A7" s="10">
        <v>12</v>
      </c>
      <c r="B7" s="9" t="s">
        <v>23</v>
      </c>
      <c r="C7" s="8"/>
      <c r="D7" s="8" t="s">
        <v>16</v>
      </c>
    </row>
    <row r="8" spans="1:4" x14ac:dyDescent="0.25">
      <c r="A8" s="10">
        <v>12</v>
      </c>
      <c r="B8" s="9" t="s">
        <v>24</v>
      </c>
      <c r="C8" s="8" t="s">
        <v>226</v>
      </c>
      <c r="D8" s="8" t="s">
        <v>16</v>
      </c>
    </row>
    <row r="9" spans="1:4" x14ac:dyDescent="0.25">
      <c r="A9" s="10">
        <v>12</v>
      </c>
      <c r="B9" s="9" t="s">
        <v>25</v>
      </c>
      <c r="C9" s="8" t="s">
        <v>227</v>
      </c>
      <c r="D9" s="8" t="s">
        <v>16</v>
      </c>
    </row>
    <row r="10" spans="1:4" x14ac:dyDescent="0.25">
      <c r="A10" s="10">
        <v>12</v>
      </c>
      <c r="B10" s="9" t="s">
        <v>26</v>
      </c>
      <c r="C10" s="8" t="s">
        <v>228</v>
      </c>
      <c r="D10" s="8" t="s">
        <v>16</v>
      </c>
    </row>
    <row r="11" spans="1:4" x14ac:dyDescent="0.25">
      <c r="A11" s="10">
        <v>12</v>
      </c>
      <c r="B11" s="9" t="s">
        <v>27</v>
      </c>
      <c r="C11" s="8" t="s">
        <v>229</v>
      </c>
      <c r="D11" s="8" t="s">
        <v>16</v>
      </c>
    </row>
    <row r="12" spans="1:4" x14ac:dyDescent="0.25">
      <c r="A12" s="10">
        <v>12</v>
      </c>
      <c r="B12" s="9">
        <v>10</v>
      </c>
      <c r="C12" s="8" t="s">
        <v>230</v>
      </c>
      <c r="D12" s="8" t="s">
        <v>16</v>
      </c>
    </row>
    <row r="13" spans="1:4" x14ac:dyDescent="0.25">
      <c r="A13" s="10">
        <v>12</v>
      </c>
      <c r="B13" s="9">
        <v>11</v>
      </c>
      <c r="C13" s="8"/>
      <c r="D13" s="8" t="s">
        <v>16</v>
      </c>
    </row>
    <row r="14" spans="1:4" x14ac:dyDescent="0.25">
      <c r="A14" s="10">
        <v>12</v>
      </c>
      <c r="B14" s="9">
        <v>12</v>
      </c>
      <c r="C14" s="8" t="s">
        <v>231</v>
      </c>
      <c r="D14" s="8" t="s">
        <v>16</v>
      </c>
    </row>
    <row r="15" spans="1:4" x14ac:dyDescent="0.25">
      <c r="A15" s="10">
        <v>12</v>
      </c>
      <c r="B15" s="9">
        <v>13</v>
      </c>
      <c r="C15" s="8" t="s">
        <v>232</v>
      </c>
      <c r="D15" s="8" t="s">
        <v>16</v>
      </c>
    </row>
    <row r="16" spans="1:4" x14ac:dyDescent="0.25">
      <c r="A16" s="10">
        <v>12</v>
      </c>
      <c r="B16" s="9">
        <v>14</v>
      </c>
      <c r="C16" s="8" t="s">
        <v>233</v>
      </c>
      <c r="D16" s="8" t="s">
        <v>16</v>
      </c>
    </row>
    <row r="17" spans="1:4" x14ac:dyDescent="0.25">
      <c r="A17" s="10">
        <v>12</v>
      </c>
      <c r="B17" s="9">
        <v>15</v>
      </c>
      <c r="C17" s="8" t="s">
        <v>234</v>
      </c>
      <c r="D17" s="8" t="s">
        <v>16</v>
      </c>
    </row>
    <row r="18" spans="1:4" x14ac:dyDescent="0.25">
      <c r="A18" s="10">
        <v>12</v>
      </c>
      <c r="B18" s="9">
        <v>16</v>
      </c>
      <c r="C18" s="8" t="s">
        <v>235</v>
      </c>
      <c r="D18" s="8" t="s">
        <v>16</v>
      </c>
    </row>
    <row r="19" spans="1:4" x14ac:dyDescent="0.25">
      <c r="A19" s="10">
        <v>12</v>
      </c>
      <c r="B19" s="9">
        <v>17</v>
      </c>
      <c r="C19" s="8"/>
      <c r="D19" s="8" t="s">
        <v>16</v>
      </c>
    </row>
    <row r="20" spans="1:4" x14ac:dyDescent="0.25">
      <c r="A20" s="10">
        <v>12</v>
      </c>
      <c r="B20" s="9">
        <v>18</v>
      </c>
      <c r="C20" s="8" t="s">
        <v>236</v>
      </c>
      <c r="D20" s="8" t="s">
        <v>16</v>
      </c>
    </row>
    <row r="21" spans="1:4" x14ac:dyDescent="0.25">
      <c r="A21" s="10">
        <v>12</v>
      </c>
      <c r="B21" s="9">
        <v>19</v>
      </c>
      <c r="C21" s="8" t="s">
        <v>237</v>
      </c>
      <c r="D21" s="8" t="s">
        <v>16</v>
      </c>
    </row>
    <row r="22" spans="1:4" x14ac:dyDescent="0.25">
      <c r="A22" s="10">
        <v>12</v>
      </c>
      <c r="B22" s="9">
        <v>20</v>
      </c>
      <c r="C22" s="8" t="s">
        <v>238</v>
      </c>
      <c r="D22" s="8" t="s">
        <v>16</v>
      </c>
    </row>
    <row r="23" spans="1:4" x14ac:dyDescent="0.25">
      <c r="A23" s="10">
        <v>12</v>
      </c>
      <c r="B23" s="9">
        <v>21</v>
      </c>
      <c r="C23" s="8" t="s">
        <v>239</v>
      </c>
      <c r="D23" s="8" t="s">
        <v>16</v>
      </c>
    </row>
    <row r="24" spans="1:4" x14ac:dyDescent="0.25">
      <c r="A24" s="10">
        <v>12</v>
      </c>
      <c r="B24" s="9">
        <v>22</v>
      </c>
      <c r="C24" s="8" t="s">
        <v>240</v>
      </c>
      <c r="D24" s="8" t="s">
        <v>16</v>
      </c>
    </row>
    <row r="25" spans="1:4" x14ac:dyDescent="0.25">
      <c r="A25" s="10">
        <v>12</v>
      </c>
      <c r="B25" s="9">
        <v>23</v>
      </c>
      <c r="C25" s="8"/>
      <c r="D25" s="8" t="s">
        <v>16</v>
      </c>
    </row>
    <row r="26" spans="1:4" x14ac:dyDescent="0.25">
      <c r="A26" s="10">
        <v>12</v>
      </c>
      <c r="B26" s="9">
        <v>24</v>
      </c>
      <c r="C26" s="8" t="s">
        <v>241</v>
      </c>
      <c r="D26" s="8" t="s">
        <v>16</v>
      </c>
    </row>
    <row r="27" spans="1:4" x14ac:dyDescent="0.25">
      <c r="A27" s="10">
        <v>12</v>
      </c>
      <c r="B27" s="9">
        <v>25</v>
      </c>
      <c r="C27" s="8" t="s">
        <v>242</v>
      </c>
      <c r="D27" s="8" t="s">
        <v>16</v>
      </c>
    </row>
    <row r="28" spans="1:4" x14ac:dyDescent="0.25">
      <c r="A28" s="10">
        <v>12</v>
      </c>
      <c r="B28" s="9">
        <v>26</v>
      </c>
      <c r="C28" s="8" t="s">
        <v>243</v>
      </c>
      <c r="D28" s="8" t="s">
        <v>16</v>
      </c>
    </row>
    <row r="29" spans="1:4" x14ac:dyDescent="0.25">
      <c r="A29" s="10">
        <v>12</v>
      </c>
      <c r="B29" s="9">
        <v>27</v>
      </c>
      <c r="C29" s="8"/>
      <c r="D29" s="8" t="s">
        <v>16</v>
      </c>
    </row>
    <row r="30" spans="1:4" x14ac:dyDescent="0.25">
      <c r="A30" s="10">
        <v>12</v>
      </c>
      <c r="B30" s="9">
        <v>28</v>
      </c>
      <c r="C30" s="8" t="s">
        <v>244</v>
      </c>
      <c r="D30" s="8" t="s">
        <v>16</v>
      </c>
    </row>
    <row r="31" spans="1:4" x14ac:dyDescent="0.25">
      <c r="A31" s="10">
        <v>12</v>
      </c>
      <c r="B31" s="9">
        <v>29</v>
      </c>
      <c r="C31" s="8" t="s">
        <v>245</v>
      </c>
      <c r="D31" s="8" t="s">
        <v>16</v>
      </c>
    </row>
    <row r="32" spans="1:4" x14ac:dyDescent="0.25">
      <c r="A32" s="10">
        <v>12</v>
      </c>
      <c r="B32" s="9">
        <v>30</v>
      </c>
      <c r="C32" s="8" t="s">
        <v>246</v>
      </c>
      <c r="D32" s="8" t="s">
        <v>16</v>
      </c>
    </row>
    <row r="33" spans="1:4" x14ac:dyDescent="0.25">
      <c r="A33" s="10">
        <v>12</v>
      </c>
      <c r="B33" s="9">
        <v>31</v>
      </c>
      <c r="C33" s="8"/>
      <c r="D33" s="8" t="s">
        <v>16</v>
      </c>
    </row>
  </sheetData>
  <pageMargins left="0.7" right="0.7" top="0.75" bottom="0.75" header="0.3" footer="0.3"/>
  <pageSetup scale="140"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'Channel Functions'!$A$2:$A$4</xm:f>
          </x14:formula1>
          <xm:sqref>D2:D13</xm:sqref>
        </x14:dataValidation>
        <x14:dataValidation type="list" allowBlank="1" showInputMessage="1" showErrorMessage="1">
          <x14:formula1>
            <xm:f>'Channel Functions'!$A$2:$A$6</xm:f>
          </x14:formula1>
          <xm:sqref>D29:D33</xm:sqref>
        </x14:dataValidation>
        <x14:dataValidation type="list" allowBlank="1" showInputMessage="1" showErrorMessage="1">
          <x14:formula1>
            <xm:f>'Channel Functions'!$A$2:$A$7</xm:f>
          </x14:formula1>
          <xm:sqref>D14:D28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J26"/>
  <sheetViews>
    <sheetView workbookViewId="0">
      <selection activeCell="A27" sqref="A27"/>
    </sheetView>
  </sheetViews>
  <sheetFormatPr defaultRowHeight="15" x14ac:dyDescent="0.25"/>
  <cols>
    <col min="9" max="9" width="10.140625" bestFit="1" customWidth="1"/>
  </cols>
  <sheetData>
    <row r="2" spans="1:10" x14ac:dyDescent="0.25">
      <c r="A2" s="11" t="s">
        <v>220</v>
      </c>
      <c r="B2" s="11"/>
      <c r="C2" s="11"/>
      <c r="D2" s="11"/>
      <c r="E2" s="11"/>
      <c r="F2" s="11"/>
      <c r="G2" s="11"/>
      <c r="H2" s="11"/>
      <c r="I2" s="10" t="s">
        <v>93</v>
      </c>
      <c r="J2" s="10" t="s">
        <v>113</v>
      </c>
    </row>
    <row r="3" spans="1:10" x14ac:dyDescent="0.25">
      <c r="A3" s="11"/>
      <c r="B3" s="11"/>
      <c r="C3" s="11"/>
      <c r="D3" s="11"/>
      <c r="E3" s="11"/>
      <c r="F3" s="11"/>
      <c r="G3" s="11"/>
      <c r="H3" s="11"/>
      <c r="I3" s="10">
        <v>1</v>
      </c>
      <c r="J3" s="10" t="s">
        <v>76</v>
      </c>
    </row>
    <row r="4" spans="1:10" x14ac:dyDescent="0.25">
      <c r="A4" s="11"/>
      <c r="B4" s="11"/>
      <c r="C4" s="11"/>
      <c r="D4" s="11"/>
      <c r="E4" s="11"/>
      <c r="F4" s="11"/>
      <c r="G4" s="11"/>
      <c r="H4" s="11"/>
      <c r="I4" s="10">
        <v>2</v>
      </c>
      <c r="J4" s="10" t="s">
        <v>124</v>
      </c>
    </row>
    <row r="5" spans="1:10" x14ac:dyDescent="0.25">
      <c r="A5" s="11"/>
      <c r="B5" s="11"/>
      <c r="C5" s="11"/>
      <c r="D5" s="11"/>
      <c r="E5" s="11"/>
      <c r="F5" s="11"/>
      <c r="G5" s="11"/>
      <c r="H5" s="11"/>
      <c r="I5" s="10">
        <v>3</v>
      </c>
      <c r="J5" s="10" t="s">
        <v>77</v>
      </c>
    </row>
    <row r="6" spans="1:10" x14ac:dyDescent="0.25">
      <c r="A6" s="11"/>
      <c r="B6" s="11"/>
      <c r="C6" s="11"/>
      <c r="D6" s="11"/>
      <c r="E6" s="11"/>
      <c r="F6" s="11"/>
      <c r="G6" s="11"/>
      <c r="H6" s="11"/>
      <c r="I6" s="10">
        <v>4</v>
      </c>
      <c r="J6" s="10" t="s">
        <v>125</v>
      </c>
    </row>
    <row r="7" spans="1:10" x14ac:dyDescent="0.25">
      <c r="A7" s="11"/>
      <c r="B7" s="11"/>
      <c r="C7" s="11"/>
      <c r="D7" s="11"/>
      <c r="E7" s="11"/>
      <c r="F7" s="11"/>
      <c r="G7" s="11"/>
      <c r="H7" s="11"/>
      <c r="I7" s="10">
        <v>5</v>
      </c>
      <c r="J7" s="10" t="s">
        <v>78</v>
      </c>
    </row>
    <row r="8" spans="1:10" x14ac:dyDescent="0.25">
      <c r="A8" s="11"/>
      <c r="B8" s="11"/>
      <c r="C8" s="11"/>
      <c r="D8" s="11"/>
      <c r="E8" s="11"/>
      <c r="F8" s="11"/>
      <c r="G8" s="11"/>
      <c r="H8" s="11"/>
      <c r="I8" s="10">
        <v>6</v>
      </c>
      <c r="J8" s="10" t="s">
        <v>126</v>
      </c>
    </row>
    <row r="9" spans="1:10" x14ac:dyDescent="0.25">
      <c r="A9" s="11"/>
      <c r="B9" s="11"/>
      <c r="C9" s="11"/>
      <c r="D9" s="11"/>
      <c r="E9" s="11"/>
      <c r="F9" s="11"/>
      <c r="G9" s="11"/>
      <c r="H9" s="11"/>
      <c r="I9" s="10">
        <v>7</v>
      </c>
      <c r="J9" s="10"/>
    </row>
    <row r="10" spans="1:10" x14ac:dyDescent="0.25">
      <c r="A10" s="11"/>
      <c r="B10" s="11"/>
      <c r="C10" s="11"/>
      <c r="D10" s="11"/>
      <c r="E10" s="11"/>
      <c r="F10" s="11"/>
      <c r="G10" s="11"/>
      <c r="H10" s="11"/>
      <c r="I10" s="10">
        <v>8</v>
      </c>
      <c r="J10" s="10" t="s">
        <v>80</v>
      </c>
    </row>
    <row r="11" spans="1:10" x14ac:dyDescent="0.25">
      <c r="A11" s="11"/>
      <c r="B11" s="11"/>
      <c r="C11" s="11"/>
      <c r="D11" s="11"/>
      <c r="E11" s="11"/>
      <c r="F11" s="11"/>
      <c r="G11" s="11"/>
      <c r="H11" s="11"/>
      <c r="I11" s="10">
        <v>9</v>
      </c>
      <c r="J11" s="10" t="s">
        <v>127</v>
      </c>
    </row>
    <row r="12" spans="1:10" x14ac:dyDescent="0.25">
      <c r="A12" s="11"/>
      <c r="B12" s="11"/>
      <c r="C12" s="11"/>
      <c r="D12" s="11"/>
      <c r="E12" s="11"/>
      <c r="F12" s="11"/>
      <c r="G12" s="11"/>
      <c r="H12" s="11"/>
      <c r="I12" s="10">
        <v>10</v>
      </c>
      <c r="J12" s="10" t="s">
        <v>81</v>
      </c>
    </row>
    <row r="13" spans="1:10" x14ac:dyDescent="0.25">
      <c r="A13" s="11"/>
      <c r="B13" s="11"/>
      <c r="C13" s="11"/>
      <c r="D13" s="11"/>
      <c r="E13" s="11"/>
      <c r="F13" s="11"/>
      <c r="G13" s="11"/>
      <c r="H13" s="11"/>
      <c r="I13" s="10">
        <v>11</v>
      </c>
      <c r="J13" s="10" t="s">
        <v>128</v>
      </c>
    </row>
    <row r="14" spans="1:10" x14ac:dyDescent="0.25">
      <c r="A14" s="11"/>
      <c r="B14" s="11"/>
      <c r="C14" s="11"/>
      <c r="D14" s="11"/>
      <c r="E14" s="11"/>
      <c r="F14" s="11"/>
      <c r="G14" s="11"/>
      <c r="H14" s="11"/>
      <c r="I14" s="10">
        <v>12</v>
      </c>
      <c r="J14" s="10" t="s">
        <v>82</v>
      </c>
    </row>
    <row r="15" spans="1:10" x14ac:dyDescent="0.25">
      <c r="A15" s="11"/>
      <c r="B15" s="11"/>
      <c r="C15" s="11"/>
      <c r="D15" s="11"/>
      <c r="E15" s="11"/>
      <c r="F15" s="11"/>
      <c r="G15" s="11"/>
      <c r="H15" s="11"/>
      <c r="I15" s="10">
        <v>13</v>
      </c>
      <c r="J15" s="10" t="s">
        <v>129</v>
      </c>
    </row>
    <row r="16" spans="1:10" x14ac:dyDescent="0.25">
      <c r="A16" s="11"/>
      <c r="B16" s="11"/>
      <c r="C16" s="11"/>
      <c r="D16" s="11"/>
      <c r="E16" s="11"/>
      <c r="F16" s="11"/>
      <c r="G16" s="11"/>
      <c r="H16" s="11"/>
      <c r="I16" s="10">
        <v>14</v>
      </c>
      <c r="J16" s="10" t="s">
        <v>83</v>
      </c>
    </row>
    <row r="17" spans="1:10" x14ac:dyDescent="0.25">
      <c r="A17" s="11"/>
      <c r="B17" s="11"/>
      <c r="C17" s="11"/>
      <c r="D17" s="11"/>
      <c r="E17" s="11"/>
      <c r="F17" s="11"/>
      <c r="G17" s="11"/>
      <c r="H17" s="11"/>
      <c r="I17" s="10">
        <v>15</v>
      </c>
      <c r="J17" s="10"/>
    </row>
    <row r="18" spans="1:10" x14ac:dyDescent="0.25">
      <c r="A18" s="11"/>
      <c r="B18" s="11"/>
      <c r="C18" s="11"/>
      <c r="D18" s="11"/>
      <c r="E18" s="11"/>
      <c r="F18" s="11"/>
      <c r="G18" s="11"/>
      <c r="H18" s="11"/>
      <c r="I18" s="10">
        <v>16</v>
      </c>
      <c r="J18" s="10" t="s">
        <v>84</v>
      </c>
    </row>
    <row r="19" spans="1:10" x14ac:dyDescent="0.25">
      <c r="A19" s="11"/>
      <c r="B19" s="11"/>
      <c r="C19" s="11"/>
      <c r="D19" s="11"/>
      <c r="E19" s="11"/>
      <c r="F19" s="11"/>
      <c r="G19" s="11"/>
      <c r="H19" s="11"/>
      <c r="I19" s="10">
        <v>17</v>
      </c>
      <c r="J19" s="10" t="s">
        <v>103</v>
      </c>
    </row>
    <row r="20" spans="1:10" x14ac:dyDescent="0.25">
      <c r="A20" s="11"/>
      <c r="B20" s="11"/>
      <c r="C20" s="11"/>
      <c r="D20" s="11"/>
      <c r="E20" s="11"/>
      <c r="F20" s="11"/>
      <c r="G20" s="11"/>
      <c r="H20" s="11"/>
      <c r="I20" s="10">
        <v>18</v>
      </c>
      <c r="J20" s="10" t="s">
        <v>85</v>
      </c>
    </row>
    <row r="21" spans="1:10" x14ac:dyDescent="0.25">
      <c r="A21" s="11"/>
      <c r="B21" s="11"/>
      <c r="C21" s="11"/>
      <c r="D21" s="11"/>
      <c r="E21" s="11"/>
      <c r="F21" s="11"/>
      <c r="G21" s="11"/>
      <c r="H21" s="11"/>
      <c r="I21" s="10">
        <v>19</v>
      </c>
      <c r="J21" s="10" t="s">
        <v>104</v>
      </c>
    </row>
    <row r="22" spans="1:10" x14ac:dyDescent="0.25">
      <c r="A22" s="11"/>
      <c r="B22" s="11"/>
      <c r="C22" s="11"/>
      <c r="D22" s="11"/>
      <c r="E22" s="11"/>
      <c r="F22" s="11"/>
      <c r="G22" s="11"/>
      <c r="H22" s="11"/>
      <c r="I22" s="10">
        <v>20</v>
      </c>
      <c r="J22" s="10" t="s">
        <v>86</v>
      </c>
    </row>
    <row r="23" spans="1:10" x14ac:dyDescent="0.25">
      <c r="A23" s="11"/>
      <c r="B23" s="11"/>
      <c r="C23" s="11"/>
      <c r="D23" s="11"/>
      <c r="E23" s="11"/>
      <c r="F23" s="11"/>
      <c r="G23" s="11"/>
      <c r="H23" s="11"/>
      <c r="I23" s="10">
        <v>21</v>
      </c>
      <c r="J23" s="10" t="s">
        <v>105</v>
      </c>
    </row>
    <row r="24" spans="1:10" x14ac:dyDescent="0.25">
      <c r="A24" s="11"/>
      <c r="B24" s="11"/>
      <c r="C24" s="11"/>
      <c r="D24" s="11"/>
      <c r="E24" s="11"/>
      <c r="F24" s="11"/>
      <c r="G24" s="11"/>
      <c r="H24" s="11"/>
      <c r="I24" s="10">
        <v>22</v>
      </c>
      <c r="J24" s="10" t="s">
        <v>87</v>
      </c>
    </row>
    <row r="25" spans="1:10" x14ac:dyDescent="0.25">
      <c r="A25" s="11"/>
      <c r="B25" s="11"/>
      <c r="C25" s="11"/>
      <c r="D25" s="11"/>
      <c r="E25" s="11"/>
      <c r="F25" s="11"/>
      <c r="G25" s="11"/>
      <c r="H25" s="11"/>
      <c r="I25" s="10">
        <v>23</v>
      </c>
      <c r="J25" s="10"/>
    </row>
    <row r="26" spans="1:10" x14ac:dyDescent="0.25">
      <c r="A26" s="11"/>
      <c r="B26" s="11"/>
      <c r="C26" s="11"/>
      <c r="D26" s="11"/>
      <c r="E26" s="11"/>
      <c r="F26" s="11"/>
      <c r="G26" s="11"/>
      <c r="H26" s="11"/>
      <c r="I26" s="10">
        <v>24</v>
      </c>
      <c r="J26" s="10"/>
    </row>
  </sheetData>
  <mergeCells count="1">
    <mergeCell ref="A2:H26"/>
  </mergeCells>
  <printOptions horizontalCentered="1" verticalCentered="1"/>
  <pageMargins left="0.25" right="0.25"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31"/>
  <sheetViews>
    <sheetView workbookViewId="0">
      <selection activeCell="B35" sqref="B35"/>
    </sheetView>
  </sheetViews>
  <sheetFormatPr defaultRowHeight="15" x14ac:dyDescent="0.25"/>
  <cols>
    <col min="1" max="1" width="14.42578125" bestFit="1" customWidth="1"/>
    <col min="2" max="2" width="255.7109375" bestFit="1" customWidth="1"/>
    <col min="3" max="3" width="5.5703125" bestFit="1" customWidth="1"/>
    <col min="6" max="6" width="15.28515625" bestFit="1" customWidth="1"/>
    <col min="7" max="7" width="255.7109375" bestFit="1" customWidth="1"/>
    <col min="8" max="8" width="4.85546875" bestFit="1" customWidth="1"/>
    <col min="9" max="9" width="12" bestFit="1" customWidth="1"/>
  </cols>
  <sheetData>
    <row r="1" spans="1:9" x14ac:dyDescent="0.25">
      <c r="A1" t="s">
        <v>3</v>
      </c>
      <c r="B1" t="s">
        <v>4</v>
      </c>
      <c r="C1" t="s">
        <v>13</v>
      </c>
      <c r="I1" t="s">
        <v>134</v>
      </c>
    </row>
    <row r="2" spans="1:9" x14ac:dyDescent="0.25">
      <c r="A2" t="s">
        <v>135</v>
      </c>
      <c r="B2" t="str">
        <f>CONCATENATE("sign(",LEFT(A2,5),"V-",I2,")*0.07*sqrt(280*abs((9.964*",LEFT(A2,5),"V)-24.91))*196.85*2.5")</f>
        <v>sign(BDP11V-2.63078110066382)*0.07*sqrt(280*abs((9.964*BDP11V)-24.91))*196.85*2.5</v>
      </c>
      <c r="C2" t="s">
        <v>136</v>
      </c>
      <c r="F2" t="s">
        <v>137</v>
      </c>
      <c r="G2" t="s">
        <v>138</v>
      </c>
      <c r="H2" t="s">
        <v>136</v>
      </c>
      <c r="I2">
        <v>2.6307811006638162</v>
      </c>
    </row>
    <row r="3" spans="1:9" x14ac:dyDescent="0.25">
      <c r="A3" t="s">
        <v>139</v>
      </c>
      <c r="B3" t="str">
        <f t="shared" ref="B3:B6" si="0">CONCATENATE("sign(",LEFT(A3,5),"V-",I3,")*0.07*sqrt(280*abs((9.964*",LEFT(A3,5),"V)-24.91))*196.85*2.5")</f>
        <v>sign(BDP12V-2.46247776922623)*0.07*sqrt(280*abs((9.964*BDP12V)-24.91))*196.85*2.5</v>
      </c>
      <c r="C3" t="s">
        <v>136</v>
      </c>
      <c r="F3" t="s">
        <v>140</v>
      </c>
      <c r="G3" t="s">
        <v>141</v>
      </c>
      <c r="H3" t="s">
        <v>136</v>
      </c>
      <c r="I3">
        <v>2.4624777692262279</v>
      </c>
    </row>
    <row r="4" spans="1:9" x14ac:dyDescent="0.25">
      <c r="A4" t="s">
        <v>142</v>
      </c>
      <c r="B4" t="str">
        <f t="shared" si="0"/>
        <v>sign(BDP13V-2.51467104434982)*0.07*sqrt(280*abs((9.964*BDP13V)-24.91))*196.85*2.5</v>
      </c>
      <c r="C4" t="s">
        <v>136</v>
      </c>
      <c r="F4" t="s">
        <v>143</v>
      </c>
      <c r="G4" t="s">
        <v>144</v>
      </c>
      <c r="H4" t="s">
        <v>136</v>
      </c>
      <c r="I4">
        <v>2.5146710443498157</v>
      </c>
    </row>
    <row r="5" spans="1:9" x14ac:dyDescent="0.25">
      <c r="A5" t="s">
        <v>145</v>
      </c>
      <c r="B5" t="str">
        <f t="shared" si="0"/>
        <v>sign(BDP14V-2.48504649471106)*0.07*sqrt(280*abs((9.964*BDP14V)-24.91))*196.85*2.5</v>
      </c>
      <c r="C5" t="s">
        <v>136</v>
      </c>
      <c r="F5" t="s">
        <v>146</v>
      </c>
      <c r="G5" t="s">
        <v>147</v>
      </c>
      <c r="H5" t="s">
        <v>136</v>
      </c>
      <c r="I5">
        <v>2.4850464947110629</v>
      </c>
    </row>
    <row r="6" spans="1:9" x14ac:dyDescent="0.25">
      <c r="A6" t="s">
        <v>148</v>
      </c>
      <c r="B6" t="str">
        <f t="shared" si="0"/>
        <v>sign(BDP15V-2.78490421899362)*0.07*sqrt(280*abs((9.964*BDP15V)-24.91))*196.85*2.5</v>
      </c>
      <c r="C6" t="s">
        <v>136</v>
      </c>
      <c r="F6" t="s">
        <v>149</v>
      </c>
      <c r="G6" t="s">
        <v>150</v>
      </c>
      <c r="H6" t="s">
        <v>136</v>
      </c>
      <c r="I6">
        <v>2.7849042189936211</v>
      </c>
    </row>
    <row r="7" spans="1:9" x14ac:dyDescent="0.25">
      <c r="A7" t="s">
        <v>151</v>
      </c>
      <c r="B7" t="str">
        <f>CONCATENATE(B2, "+",B3, "+",B4, "+",B5, "+",B6)</f>
        <v>sign(BDP11V-2.63078110066382)*0.07*sqrt(280*abs((9.964*BDP11V)-24.91))*196.85*2.5+sign(BDP12V-2.46247776922623)*0.07*sqrt(280*abs((9.964*BDP12V)-24.91))*196.85*2.5+sign(BDP13V-2.51467104434982)*0.07*sqrt(280*abs((9.964*BDP13V)-24.91))*196.85*2.5+sign(BDP14V-2.48504649471106)*0.07*sqrt(280*abs((9.964*BDP14V)-24.91))*196.85*2.5+sign(BDP15V-2.78490421899362)*0.07*sqrt(280*abs((9.964*BDP15V)-24.91))*196.85*2.5</v>
      </c>
      <c r="C7" t="s">
        <v>136</v>
      </c>
      <c r="F7" t="s">
        <v>151</v>
      </c>
      <c r="G7" t="str">
        <f>CONCATENATE(G2, "+",G3, "+",G4, "+",G5, "+",G6)</f>
        <v>sign(1BDP1V-2.5)*0.07*sqrt(280*abs((9.964*1BDP1V)-24.91))*196.85*2.5+sign(1BDP2V-2.5)*.07*sqrt(280*abs((9.964*1BDP2V)-24.91))*196.85*2.5+sign(1BDP3V-2.5)*.07*sqrt(280*abs((9.964*1BDP3V)-24.91))*196.85*2.5+sign(1BDP4V-2.5)*.07*sqrt(280*abs((9.964*1BDP4V)-24.91))*196.85*2.5+sign(1BDP5V-2.5)*.07*sqrt(280*abs((9.964*1BDP5V)-24.91))*196.85*2.5</v>
      </c>
      <c r="H7" t="s">
        <v>136</v>
      </c>
    </row>
    <row r="8" spans="1:9" x14ac:dyDescent="0.25">
      <c r="A8" t="s">
        <v>152</v>
      </c>
      <c r="B8" t="str">
        <f>CONCATENATE("sign(",LEFT(A8,5),"V-",I8,")*0.07*sqrt(280*abs((9.964*",LEFT(A8,5),"V)-24.91))*196.85*2.5")</f>
        <v>sign(BDP21V-2.51641800390863)*0.07*sqrt(280*abs((9.964*BDP21V)-24.91))*196.85*2.5</v>
      </c>
      <c r="C8" t="s">
        <v>136</v>
      </c>
      <c r="F8" t="s">
        <v>153</v>
      </c>
      <c r="G8" t="s">
        <v>154</v>
      </c>
      <c r="H8" t="s">
        <v>136</v>
      </c>
      <c r="I8">
        <v>2.5164180039086257</v>
      </c>
    </row>
    <row r="9" spans="1:9" x14ac:dyDescent="0.25">
      <c r="A9" t="s">
        <v>155</v>
      </c>
      <c r="B9" t="str">
        <f t="shared" ref="B9:B12" si="1">CONCATENATE("sign(",LEFT(A9,5),"V-",I9,")*0.07*sqrt(280*abs((9.964*",LEFT(A9,5),"V)-24.91))*196.85*2.5")</f>
        <v>sign(BDP22V-2.63019619326533)*0.07*sqrt(280*abs((9.964*BDP22V)-24.91))*196.85*2.5</v>
      </c>
      <c r="C9" t="s">
        <v>136</v>
      </c>
      <c r="F9" t="s">
        <v>156</v>
      </c>
      <c r="G9" t="s">
        <v>157</v>
      </c>
      <c r="H9" t="s">
        <v>136</v>
      </c>
      <c r="I9">
        <v>2.6301961932653257</v>
      </c>
    </row>
    <row r="10" spans="1:9" x14ac:dyDescent="0.25">
      <c r="A10" t="s">
        <v>158</v>
      </c>
      <c r="B10" t="str">
        <f t="shared" si="1"/>
        <v>sign(BDP23V-2.48013196267703)*0.07*sqrt(280*abs((9.964*BDP23V)-24.91))*196.85*2.5</v>
      </c>
      <c r="C10" t="s">
        <v>136</v>
      </c>
      <c r="F10" t="s">
        <v>159</v>
      </c>
      <c r="G10" t="s">
        <v>160</v>
      </c>
      <c r="H10" t="s">
        <v>136</v>
      </c>
      <c r="I10">
        <v>2.4801319626770315</v>
      </c>
    </row>
    <row r="11" spans="1:9" x14ac:dyDescent="0.25">
      <c r="A11" t="s">
        <v>161</v>
      </c>
      <c r="B11" t="str">
        <f t="shared" si="1"/>
        <v>sign(BDP24V-2.52446708107927)*0.07*sqrt(280*abs((9.964*BDP24V)-24.91))*196.85*2.5</v>
      </c>
      <c r="C11" t="s">
        <v>136</v>
      </c>
      <c r="F11" t="s">
        <v>162</v>
      </c>
      <c r="G11" t="s">
        <v>163</v>
      </c>
      <c r="H11" t="s">
        <v>136</v>
      </c>
      <c r="I11">
        <v>2.5244670810792749</v>
      </c>
    </row>
    <row r="12" spans="1:9" x14ac:dyDescent="0.25">
      <c r="A12" t="s">
        <v>164</v>
      </c>
      <c r="B12" t="str">
        <f t="shared" si="1"/>
        <v>sign(BDP25V-2.51943564641911)*0.07*sqrt(280*abs((9.964*BDP25V)-24.91))*196.85*2.5</v>
      </c>
      <c r="C12" t="s">
        <v>136</v>
      </c>
      <c r="F12" t="s">
        <v>165</v>
      </c>
      <c r="G12" t="s">
        <v>166</v>
      </c>
      <c r="H12" t="s">
        <v>136</v>
      </c>
      <c r="I12">
        <v>2.5194356464191099</v>
      </c>
    </row>
    <row r="13" spans="1:9" x14ac:dyDescent="0.25">
      <c r="A13" t="s">
        <v>167</v>
      </c>
      <c r="B13" t="str">
        <f>CONCATENATE(B8, "+",B9, "+",B10, "+",B11, "+",B12)</f>
        <v>sign(BDP21V-2.51641800390863)*0.07*sqrt(280*abs((9.964*BDP21V)-24.91))*196.85*2.5+sign(BDP22V-2.63019619326533)*0.07*sqrt(280*abs((9.964*BDP22V)-24.91))*196.85*2.5+sign(BDP23V-2.48013196267703)*0.07*sqrt(280*abs((9.964*BDP23V)-24.91))*196.85*2.5+sign(BDP24V-2.52446708107927)*0.07*sqrt(280*abs((9.964*BDP24V)-24.91))*196.85*2.5+sign(BDP25V-2.51943564641911)*0.07*sqrt(280*abs((9.964*BDP25V)-24.91))*196.85*2.5</v>
      </c>
      <c r="C13" t="s">
        <v>136</v>
      </c>
      <c r="F13" t="s">
        <v>168</v>
      </c>
      <c r="G13" t="str">
        <f>CONCATENATE(G8, "+",G9, "+",G10, "+",G11, "+",G12)</f>
        <v>sign(2BDP1V-2.5)*.07*sqrt(280*abs((9.964*2BDP1V)-24.91))*196.85*2.5+sign(2BDP2V-2.5)*.07*sqrt(280*abs((9.964*2BDP2V)-24.91))*196.85*2.5+sign(2BDP3V-2.5)*.07*sqrt(280*abs((9.964*2BDP3V)-24.91))*196.85*2.5+sign(2BDP4V-2.5)*.07*sqrt(280*abs((9.964*2BDP4V)-24.91))*196.85*2.5+sign(2BDP5V-2.5)*.07*sqrt(280*abs((9.964*2BDP5V)-24.91))*196.85*2.5</v>
      </c>
      <c r="H13" t="s">
        <v>136</v>
      </c>
    </row>
    <row r="14" spans="1:9" x14ac:dyDescent="0.25">
      <c r="A14" t="s">
        <v>169</v>
      </c>
      <c r="B14" t="str">
        <f>CONCATENATE("sign(",LEFT(A14,5),"V-",I14,")*0.07*sqrt(280*abs((9.964*",LEFT(A14,5),"V)-24.91))*196.85*2.5")</f>
        <v>sign(BDP31V-2.45293686793704)*0.07*sqrt(280*abs((9.964*BDP31V)-24.91))*196.85*2.5</v>
      </c>
      <c r="C14" t="s">
        <v>136</v>
      </c>
      <c r="F14" t="s">
        <v>170</v>
      </c>
      <c r="G14" t="s">
        <v>171</v>
      </c>
      <c r="H14" t="s">
        <v>136</v>
      </c>
      <c r="I14">
        <v>2.4529368679370429</v>
      </c>
    </row>
    <row r="15" spans="1:9" x14ac:dyDescent="0.25">
      <c r="A15" t="s">
        <v>172</v>
      </c>
      <c r="B15" t="str">
        <f t="shared" ref="B15:B18" si="2">CONCATENATE("sign(",LEFT(A15,5),"V-",I15,")*0.07*sqrt(280*abs((9.964*",LEFT(A15,5),"V)-24.91))*196.85*2.5")</f>
        <v>sign(BDP32V-2.45701531531297)*0.07*sqrt(280*abs((9.964*BDP32V)-24.91))*196.85*2.5</v>
      </c>
      <c r="C15" t="s">
        <v>136</v>
      </c>
      <c r="F15" t="s">
        <v>173</v>
      </c>
      <c r="G15" t="s">
        <v>174</v>
      </c>
      <c r="H15" t="s">
        <v>136</v>
      </c>
      <c r="I15">
        <v>2.4570153153129697</v>
      </c>
    </row>
    <row r="16" spans="1:9" x14ac:dyDescent="0.25">
      <c r="A16" t="s">
        <v>175</v>
      </c>
      <c r="B16" t="str">
        <f t="shared" si="2"/>
        <v>sign(BDP33V-2.49105624357021)*0.07*sqrt(280*abs((9.964*BDP33V)-24.91))*196.85*2.5</v>
      </c>
      <c r="C16" t="s">
        <v>136</v>
      </c>
      <c r="F16" t="s">
        <v>176</v>
      </c>
      <c r="G16" t="s">
        <v>177</v>
      </c>
      <c r="H16" t="s">
        <v>136</v>
      </c>
      <c r="I16">
        <v>2.4910562435702084</v>
      </c>
    </row>
    <row r="17" spans="1:9" x14ac:dyDescent="0.25">
      <c r="A17" t="s">
        <v>178</v>
      </c>
      <c r="B17" t="str">
        <f t="shared" si="2"/>
        <v>sign(BDP34V-2.45596313476562)*0.07*sqrt(280*abs((9.964*BDP34V)-24.91))*196.85*2.5</v>
      </c>
      <c r="C17" t="s">
        <v>136</v>
      </c>
      <c r="F17" t="s">
        <v>179</v>
      </c>
      <c r="G17" t="s">
        <v>180</v>
      </c>
      <c r="H17" t="s">
        <v>136</v>
      </c>
      <c r="I17">
        <v>2.455963134765625</v>
      </c>
    </row>
    <row r="18" spans="1:9" x14ac:dyDescent="0.25">
      <c r="A18" t="s">
        <v>181</v>
      </c>
      <c r="B18" t="str">
        <f t="shared" si="2"/>
        <v>sign(BDP35V-2.46446494387061)*0.07*sqrt(280*abs((9.964*BDP35V)-24.91))*196.85*2.5</v>
      </c>
      <c r="C18" t="s">
        <v>136</v>
      </c>
      <c r="F18" t="s">
        <v>182</v>
      </c>
      <c r="G18" t="s">
        <v>183</v>
      </c>
      <c r="H18" t="s">
        <v>136</v>
      </c>
      <c r="I18">
        <v>2.4644649438706057</v>
      </c>
    </row>
    <row r="19" spans="1:9" x14ac:dyDescent="0.25">
      <c r="A19" t="s">
        <v>184</v>
      </c>
      <c r="B19" t="str">
        <f>CONCATENATE(B14, "+",B15, "+",B16, "+",B17, "+",B18)</f>
        <v>sign(BDP31V-2.45293686793704)*0.07*sqrt(280*abs((9.964*BDP31V)-24.91))*196.85*2.5+sign(BDP32V-2.45701531531297)*0.07*sqrt(280*abs((9.964*BDP32V)-24.91))*196.85*2.5+sign(BDP33V-2.49105624357021)*0.07*sqrt(280*abs((9.964*BDP33V)-24.91))*196.85*2.5+sign(BDP34V-2.45596313476562)*0.07*sqrt(280*abs((9.964*BDP34V)-24.91))*196.85*2.5+sign(BDP35V-2.46446494387061)*0.07*sqrt(280*abs((9.964*BDP35V)-24.91))*196.85*2.5</v>
      </c>
      <c r="C19" t="s">
        <v>136</v>
      </c>
      <c r="F19" t="s">
        <v>184</v>
      </c>
      <c r="G19" t="str">
        <f>CONCATENATE(G14, "+",G15, "+",G16, "+",G17, "+",G18)</f>
        <v>sign(3BDP1V-2.5)*.07*sqrt(280*abs((9.964*3BDP1V)-24.91))*196.85*2.5+sign(3BDP2V-2.5)*.07*sqrt(280*abs((9.964*3BDP2V)-24.91))*196.85*2.5+sign(3BDP3V-2.5)*.07*sqrt(280*abs((9.964*3BDP3V)-24.91))*196.85*2.5+sign(3BDP4V-2.5)*.07*sqrt(280*abs((9.964*3BDP4V)-24.91))*196.85*2.5+sign(3BDP5V-2.5)*.07*sqrt(280*abs((9.964*3BDP5V)-24.91))*196.85*2.5</v>
      </c>
      <c r="H19" t="s">
        <v>136</v>
      </c>
    </row>
    <row r="20" spans="1:9" x14ac:dyDescent="0.25">
      <c r="A20" t="s">
        <v>185</v>
      </c>
      <c r="B20" t="str">
        <f>CONCATENATE("sign(",LEFT(A20,5),"V-",I20,")*0.07*sqrt(280*abs((9.964*",LEFT(A20,5),"V)-24.91))*196.85*2.5")</f>
        <v>sign(BDP41V-2.59140992152792)*0.07*sqrt(280*abs((9.964*BDP41V)-24.91))*196.85*2.5</v>
      </c>
      <c r="C20" t="s">
        <v>136</v>
      </c>
      <c r="F20" t="s">
        <v>186</v>
      </c>
      <c r="G20" t="s">
        <v>187</v>
      </c>
      <c r="H20" t="s">
        <v>136</v>
      </c>
      <c r="I20">
        <v>2.5914099215279229</v>
      </c>
    </row>
    <row r="21" spans="1:9" x14ac:dyDescent="0.25">
      <c r="A21" t="s">
        <v>188</v>
      </c>
      <c r="B21" t="str">
        <f t="shared" ref="B21:B24" si="3">CONCATENATE("sign(",LEFT(A21,5),"V-",I21,")*0.07*sqrt(280*abs((9.964*",LEFT(A21,5),"V)-24.91))*196.85*2.5")</f>
        <v>sign(BDP42V-2.56821956538345)*0.07*sqrt(280*abs((9.964*BDP42V)-24.91))*196.85*2.5</v>
      </c>
      <c r="C21" t="s">
        <v>136</v>
      </c>
      <c r="F21" t="s">
        <v>189</v>
      </c>
      <c r="G21" t="s">
        <v>190</v>
      </c>
      <c r="H21" t="s">
        <v>136</v>
      </c>
      <c r="I21">
        <v>2.5682195653834503</v>
      </c>
    </row>
    <row r="22" spans="1:9" x14ac:dyDescent="0.25">
      <c r="A22" t="s">
        <v>191</v>
      </c>
      <c r="B22" t="str">
        <f t="shared" si="3"/>
        <v>sign(BDP43V-2.51017268161842)*0.07*sqrt(280*abs((9.964*BDP43V)-24.91))*196.85*2.5</v>
      </c>
      <c r="C22" t="s">
        <v>136</v>
      </c>
      <c r="F22" t="s">
        <v>192</v>
      </c>
      <c r="G22" t="s">
        <v>193</v>
      </c>
      <c r="H22" t="s">
        <v>136</v>
      </c>
      <c r="I22">
        <v>2.5101726816184224</v>
      </c>
    </row>
    <row r="23" spans="1:9" x14ac:dyDescent="0.25">
      <c r="A23" t="s">
        <v>194</v>
      </c>
      <c r="B23" t="str">
        <f t="shared" si="3"/>
        <v>sign(BDP44V-2.55996609816719)*0.07*sqrt(280*abs((9.964*BDP44V)-24.91))*196.85*2.5</v>
      </c>
      <c r="C23" t="s">
        <v>136</v>
      </c>
      <c r="F23" t="s">
        <v>195</v>
      </c>
      <c r="G23" t="s">
        <v>196</v>
      </c>
      <c r="H23" t="s">
        <v>136</v>
      </c>
      <c r="I23">
        <v>2.559966098167191</v>
      </c>
    </row>
    <row r="24" spans="1:9" x14ac:dyDescent="0.25">
      <c r="A24" t="s">
        <v>197</v>
      </c>
      <c r="B24" t="str">
        <f t="shared" si="3"/>
        <v>sign(BDP45V-2.5465781173358)*0.07*sqrt(280*abs((9.964*BDP45V)-24.91))*196.85*2.5</v>
      </c>
      <c r="C24" t="s">
        <v>136</v>
      </c>
      <c r="F24" t="s">
        <v>198</v>
      </c>
      <c r="G24" t="s">
        <v>199</v>
      </c>
      <c r="H24" t="s">
        <v>136</v>
      </c>
      <c r="I24">
        <v>2.5465781173358</v>
      </c>
    </row>
    <row r="25" spans="1:9" x14ac:dyDescent="0.25">
      <c r="A25" t="s">
        <v>200</v>
      </c>
      <c r="B25" t="str">
        <f>CONCATENATE(B20, "+",B21, "+",B22, "+",B23, "+",B24)</f>
        <v>sign(BDP41V-2.59140992152792)*0.07*sqrt(280*abs((9.964*BDP41V)-24.91))*196.85*2.5+sign(BDP42V-2.56821956538345)*0.07*sqrt(280*abs((9.964*BDP42V)-24.91))*196.85*2.5+sign(BDP43V-2.51017268161842)*0.07*sqrt(280*abs((9.964*BDP43V)-24.91))*196.85*2.5+sign(BDP44V-2.55996609816719)*0.07*sqrt(280*abs((9.964*BDP44V)-24.91))*196.85*2.5+sign(BDP45V-2.5465781173358)*0.07*sqrt(280*abs((9.964*BDP45V)-24.91))*196.85*2.5</v>
      </c>
      <c r="C25" t="s">
        <v>136</v>
      </c>
      <c r="F25" t="s">
        <v>200</v>
      </c>
      <c r="G25" t="str">
        <f>CONCATENATE(G20, "+",G21, "+",G22, "+",G23, "+",G24)</f>
        <v>sign(4BDP1V-2.5)*.07*sqrt(280*abs((9.964*4BDP1V)-24.91))*196.85*2.5+sign(4BDP2V-2.5)*.07*sqrt(280*abs((9.964*4BDP2V)-24.91))*196.85*2.5+sign(4BDP3V-2.5)*.07*sqrt(280*abs((9.964*4BDP3V)-24.91))*196.85*2.5+sign(4BDP4V-2.5)*.07*sqrt(280*abs((9.964*4BDP4V)-24.91))*196.85*2.5+sign(4BDP5V-2.5)*.07*sqrt(280*abs((9.964*4BDP5V)-24.91))*196.85*2.5</v>
      </c>
      <c r="H25" t="s">
        <v>136</v>
      </c>
    </row>
    <row r="26" spans="1:9" x14ac:dyDescent="0.25">
      <c r="A26" t="s">
        <v>201</v>
      </c>
      <c r="B26" t="s">
        <v>202</v>
      </c>
      <c r="C26" t="s">
        <v>203</v>
      </c>
      <c r="F26" t="s">
        <v>116</v>
      </c>
      <c r="G26" t="s">
        <v>204</v>
      </c>
      <c r="H26" t="s">
        <v>203</v>
      </c>
    </row>
    <row r="27" spans="1:9" x14ac:dyDescent="0.25">
      <c r="A27" t="s">
        <v>205</v>
      </c>
      <c r="B27" t="s">
        <v>206</v>
      </c>
      <c r="C27" t="s">
        <v>203</v>
      </c>
      <c r="F27" t="s">
        <v>130</v>
      </c>
      <c r="G27" t="s">
        <v>207</v>
      </c>
      <c r="H27" t="s">
        <v>203</v>
      </c>
    </row>
    <row r="28" spans="1:9" x14ac:dyDescent="0.25">
      <c r="A28" t="s">
        <v>208</v>
      </c>
      <c r="B28" t="s">
        <v>209</v>
      </c>
      <c r="C28" t="s">
        <v>203</v>
      </c>
      <c r="F28" t="s">
        <v>117</v>
      </c>
      <c r="G28" t="s">
        <v>210</v>
      </c>
      <c r="H28" t="s">
        <v>203</v>
      </c>
    </row>
    <row r="29" spans="1:9" x14ac:dyDescent="0.25">
      <c r="A29" t="s">
        <v>211</v>
      </c>
      <c r="B29" t="s">
        <v>212</v>
      </c>
      <c r="C29" t="s">
        <v>203</v>
      </c>
      <c r="F29" t="s">
        <v>131</v>
      </c>
      <c r="G29" t="s">
        <v>213</v>
      </c>
      <c r="H29" t="s">
        <v>203</v>
      </c>
    </row>
    <row r="30" spans="1:9" x14ac:dyDescent="0.25">
      <c r="A30" t="s">
        <v>214</v>
      </c>
      <c r="B30" t="s">
        <v>215</v>
      </c>
      <c r="C30" t="s">
        <v>203</v>
      </c>
      <c r="F30" t="s">
        <v>132</v>
      </c>
      <c r="G30" t="s">
        <v>216</v>
      </c>
      <c r="H30" t="s">
        <v>203</v>
      </c>
    </row>
    <row r="31" spans="1:9" x14ac:dyDescent="0.25">
      <c r="A31" t="s">
        <v>217</v>
      </c>
      <c r="B31" t="s">
        <v>218</v>
      </c>
      <c r="C31" t="s">
        <v>203</v>
      </c>
      <c r="F31" t="s">
        <v>133</v>
      </c>
      <c r="G31" t="s">
        <v>219</v>
      </c>
      <c r="H31" t="s">
        <v>203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M8"/>
  <sheetViews>
    <sheetView workbookViewId="0">
      <selection activeCell="S28" sqref="S28"/>
    </sheetView>
  </sheetViews>
  <sheetFormatPr defaultRowHeight="15" x14ac:dyDescent="0.25"/>
  <cols>
    <col min="4" max="4" width="9.7109375" bestFit="1" customWidth="1"/>
    <col min="5" max="6" width="9.7109375" customWidth="1"/>
  </cols>
  <sheetData>
    <row r="1" spans="1:13" x14ac:dyDescent="0.45">
      <c r="B1" s="12" t="s">
        <v>8</v>
      </c>
      <c r="C1" s="12"/>
      <c r="D1" s="12"/>
      <c r="E1" s="1"/>
      <c r="F1" s="1"/>
      <c r="G1" s="12" t="s">
        <v>9</v>
      </c>
      <c r="H1" s="12"/>
      <c r="I1" s="1"/>
      <c r="J1" s="1"/>
      <c r="K1" s="12" t="s">
        <v>10</v>
      </c>
      <c r="L1" s="12"/>
      <c r="M1" s="2"/>
    </row>
    <row r="2" spans="1:13" x14ac:dyDescent="0.45">
      <c r="A2" t="s">
        <v>11</v>
      </c>
      <c r="B2" t="s">
        <v>5</v>
      </c>
      <c r="C2" t="s">
        <v>6</v>
      </c>
      <c r="D2" t="s">
        <v>7</v>
      </c>
      <c r="F2" t="s">
        <v>11</v>
      </c>
      <c r="G2" t="s">
        <v>5</v>
      </c>
      <c r="H2" t="s">
        <v>6</v>
      </c>
      <c r="J2" t="s">
        <v>11</v>
      </c>
      <c r="K2" t="s">
        <v>5</v>
      </c>
      <c r="L2" t="s">
        <v>6</v>
      </c>
    </row>
    <row r="3" spans="1:13" x14ac:dyDescent="0.45">
      <c r="A3">
        <v>0</v>
      </c>
      <c r="B3">
        <f>(A3/1000)*250</f>
        <v>0</v>
      </c>
      <c r="C3">
        <v>0</v>
      </c>
      <c r="D3">
        <v>0</v>
      </c>
      <c r="F3">
        <v>0</v>
      </c>
      <c r="G3">
        <f>(F3/1000)*250</f>
        <v>0</v>
      </c>
      <c r="H3">
        <v>0</v>
      </c>
      <c r="J3">
        <v>0</v>
      </c>
      <c r="K3">
        <f>J3/1000*250</f>
        <v>0</v>
      </c>
      <c r="L3">
        <v>0</v>
      </c>
    </row>
    <row r="4" spans="1:13" x14ac:dyDescent="0.45">
      <c r="A4">
        <v>4</v>
      </c>
      <c r="B4">
        <f t="shared" ref="B4:B8" si="0">(A4/1000)*250</f>
        <v>1</v>
      </c>
      <c r="C4">
        <v>1</v>
      </c>
      <c r="D4">
        <v>10000</v>
      </c>
      <c r="F4">
        <v>4</v>
      </c>
      <c r="G4">
        <f t="shared" ref="G4:G8" si="1">(F4/1000)*250</f>
        <v>1</v>
      </c>
      <c r="H4">
        <v>5</v>
      </c>
      <c r="J4">
        <v>4</v>
      </c>
      <c r="K4">
        <f t="shared" ref="K4:K8" si="2">J4/1000*250</f>
        <v>1</v>
      </c>
      <c r="L4">
        <v>5</v>
      </c>
    </row>
    <row r="5" spans="1:13" x14ac:dyDescent="0.45">
      <c r="A5">
        <v>8</v>
      </c>
      <c r="B5">
        <f t="shared" si="0"/>
        <v>2</v>
      </c>
      <c r="C5">
        <v>2</v>
      </c>
      <c r="D5">
        <v>20000</v>
      </c>
      <c r="F5">
        <v>8</v>
      </c>
      <c r="G5">
        <f t="shared" si="1"/>
        <v>2</v>
      </c>
      <c r="H5">
        <v>10</v>
      </c>
      <c r="J5">
        <v>8</v>
      </c>
      <c r="K5">
        <f t="shared" si="2"/>
        <v>2</v>
      </c>
      <c r="L5">
        <v>10</v>
      </c>
    </row>
    <row r="6" spans="1:13" x14ac:dyDescent="0.45">
      <c r="A6">
        <v>12</v>
      </c>
      <c r="B6">
        <f t="shared" si="0"/>
        <v>3</v>
      </c>
      <c r="C6">
        <v>3</v>
      </c>
      <c r="D6">
        <v>30000</v>
      </c>
      <c r="F6">
        <v>12</v>
      </c>
      <c r="G6">
        <f t="shared" si="1"/>
        <v>3</v>
      </c>
      <c r="H6">
        <v>15</v>
      </c>
      <c r="J6">
        <v>12</v>
      </c>
      <c r="K6">
        <f t="shared" si="2"/>
        <v>3</v>
      </c>
      <c r="L6">
        <v>15</v>
      </c>
    </row>
    <row r="7" spans="1:13" x14ac:dyDescent="0.45">
      <c r="A7">
        <v>16</v>
      </c>
      <c r="B7">
        <f t="shared" si="0"/>
        <v>4</v>
      </c>
      <c r="C7">
        <v>4</v>
      </c>
      <c r="D7">
        <v>40000</v>
      </c>
      <c r="F7">
        <v>16</v>
      </c>
      <c r="G7">
        <f t="shared" si="1"/>
        <v>4</v>
      </c>
      <c r="H7">
        <v>20</v>
      </c>
      <c r="J7">
        <v>16</v>
      </c>
      <c r="K7">
        <f t="shared" si="2"/>
        <v>4</v>
      </c>
      <c r="L7">
        <v>20</v>
      </c>
    </row>
    <row r="8" spans="1:13" x14ac:dyDescent="0.45">
      <c r="A8">
        <v>20</v>
      </c>
      <c r="B8">
        <f t="shared" si="0"/>
        <v>5</v>
      </c>
      <c r="C8">
        <v>5</v>
      </c>
      <c r="D8">
        <v>50000</v>
      </c>
      <c r="F8">
        <v>20</v>
      </c>
      <c r="G8">
        <f t="shared" si="1"/>
        <v>5</v>
      </c>
      <c r="H8">
        <v>25</v>
      </c>
      <c r="J8">
        <v>20</v>
      </c>
      <c r="K8">
        <f t="shared" si="2"/>
        <v>5</v>
      </c>
      <c r="L8">
        <v>25</v>
      </c>
    </row>
  </sheetData>
  <mergeCells count="3">
    <mergeCell ref="B1:D1"/>
    <mergeCell ref="G1:H1"/>
    <mergeCell ref="K1:L1"/>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2"/>
  <sheetViews>
    <sheetView workbookViewId="0">
      <selection activeCell="F16" sqref="F16"/>
    </sheetView>
  </sheetViews>
  <sheetFormatPr defaultRowHeight="15" x14ac:dyDescent="0.25"/>
  <cols>
    <col min="1" max="1" width="16.140625" bestFit="1" customWidth="1"/>
    <col min="2" max="2" width="18.85546875" bestFit="1" customWidth="1"/>
    <col min="4" max="4" width="12.85546875" bestFit="1" customWidth="1"/>
    <col min="5" max="5" width="11.5703125" bestFit="1" customWidth="1"/>
    <col min="6" max="6" width="14.5703125" bestFit="1" customWidth="1"/>
    <col min="7" max="7" width="9.5703125" bestFit="1" customWidth="1"/>
    <col min="8" max="8" width="11.5703125" bestFit="1" customWidth="1"/>
  </cols>
  <sheetData>
    <row r="1" spans="1:8" x14ac:dyDescent="0.45">
      <c r="A1" t="s">
        <v>17</v>
      </c>
      <c r="C1" t="s">
        <v>13</v>
      </c>
      <c r="D1" t="s">
        <v>18</v>
      </c>
      <c r="E1" t="s">
        <v>19</v>
      </c>
      <c r="F1" t="s">
        <v>38</v>
      </c>
      <c r="G1" t="s">
        <v>40</v>
      </c>
      <c r="H1" t="s">
        <v>41</v>
      </c>
    </row>
    <row r="2" spans="1:8" x14ac:dyDescent="0.45">
      <c r="A2" t="s">
        <v>15</v>
      </c>
      <c r="B2" t="s">
        <v>34</v>
      </c>
      <c r="C2" t="s">
        <v>36</v>
      </c>
      <c r="D2" s="6" t="s">
        <v>49</v>
      </c>
      <c r="E2" s="6" t="s">
        <v>110</v>
      </c>
      <c r="F2" t="s">
        <v>114</v>
      </c>
      <c r="G2" s="6" t="s">
        <v>46</v>
      </c>
      <c r="H2" s="6" t="s">
        <v>112</v>
      </c>
    </row>
    <row r="3" spans="1:8" x14ac:dyDescent="0.45">
      <c r="A3" t="s">
        <v>111</v>
      </c>
      <c r="B3" t="s">
        <v>35</v>
      </c>
      <c r="C3" t="s">
        <v>37</v>
      </c>
      <c r="D3" s="6" t="s">
        <v>42</v>
      </c>
      <c r="E3" s="6" t="s">
        <v>44</v>
      </c>
      <c r="F3" t="s">
        <v>114</v>
      </c>
      <c r="G3" s="6" t="s">
        <v>47</v>
      </c>
      <c r="H3" s="6" t="s">
        <v>48</v>
      </c>
    </row>
    <row r="4" spans="1:8" x14ac:dyDescent="0.45">
      <c r="A4" t="s">
        <v>16</v>
      </c>
      <c r="B4" t="s">
        <v>35</v>
      </c>
      <c r="C4" t="s">
        <v>37</v>
      </c>
      <c r="D4" s="6" t="s">
        <v>43</v>
      </c>
      <c r="E4" s="6" t="s">
        <v>45</v>
      </c>
      <c r="F4" t="s">
        <v>114</v>
      </c>
      <c r="G4" s="6" t="s">
        <v>115</v>
      </c>
      <c r="H4" s="6" t="s">
        <v>123</v>
      </c>
    </row>
    <row r="5" spans="1:8" x14ac:dyDescent="0.45">
      <c r="A5" t="s">
        <v>33</v>
      </c>
      <c r="B5" t="s">
        <v>35</v>
      </c>
      <c r="C5" t="s">
        <v>37</v>
      </c>
      <c r="D5" s="6" t="s">
        <v>43</v>
      </c>
      <c r="E5" s="6" t="s">
        <v>45</v>
      </c>
      <c r="F5" t="s">
        <v>39</v>
      </c>
      <c r="G5" s="6" t="s">
        <v>115</v>
      </c>
      <c r="H5" s="6" t="s">
        <v>123</v>
      </c>
    </row>
    <row r="6" spans="1:8" x14ac:dyDescent="0.45">
      <c r="A6" t="s">
        <v>94</v>
      </c>
      <c r="B6" t="s">
        <v>35</v>
      </c>
      <c r="C6" t="s">
        <v>37</v>
      </c>
      <c r="D6" s="6" t="s">
        <v>43</v>
      </c>
      <c r="E6" s="6" t="s">
        <v>45</v>
      </c>
      <c r="F6" t="s">
        <v>114</v>
      </c>
      <c r="G6" s="6" t="s">
        <v>115</v>
      </c>
      <c r="H6" s="6" t="s">
        <v>123</v>
      </c>
    </row>
    <row r="7" spans="1:8" x14ac:dyDescent="0.45">
      <c r="A7" t="s">
        <v>95</v>
      </c>
      <c r="B7" t="s">
        <v>35</v>
      </c>
      <c r="C7" t="s">
        <v>37</v>
      </c>
      <c r="D7" s="6" t="s">
        <v>43</v>
      </c>
      <c r="E7" s="6" t="s">
        <v>45</v>
      </c>
      <c r="F7" t="s">
        <v>114</v>
      </c>
      <c r="G7" s="6" t="s">
        <v>115</v>
      </c>
      <c r="H7" s="6" t="s">
        <v>123</v>
      </c>
    </row>
    <row r="8" spans="1:8" x14ac:dyDescent="0.45">
      <c r="A8" t="s">
        <v>118</v>
      </c>
      <c r="B8" t="s">
        <v>35</v>
      </c>
      <c r="C8" t="s">
        <v>37</v>
      </c>
      <c r="D8" s="6" t="s">
        <v>121</v>
      </c>
      <c r="E8" s="6" t="s">
        <v>122</v>
      </c>
      <c r="F8" t="s">
        <v>114</v>
      </c>
      <c r="G8" s="6" t="s">
        <v>119</v>
      </c>
      <c r="H8" s="6" t="s">
        <v>120</v>
      </c>
    </row>
    <row r="10" spans="1:8" x14ac:dyDescent="0.45">
      <c r="A10" t="s">
        <v>12</v>
      </c>
    </row>
    <row r="11" spans="1:8" x14ac:dyDescent="0.45">
      <c r="A11" t="s">
        <v>39</v>
      </c>
    </row>
    <row r="12" spans="1:8" x14ac:dyDescent="0.45">
      <c r="A12" t="s">
        <v>114</v>
      </c>
    </row>
  </sheetData>
  <dataValidations count="1">
    <dataValidation type="list" allowBlank="1" showInputMessage="1" showErrorMessage="1" sqref="F2:F8">
      <formula1>$A$10:$A$12</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9</vt:i4>
      </vt:variant>
    </vt:vector>
  </HeadingPairs>
  <TitlesOfParts>
    <vt:vector size="22" baseType="lpstr">
      <vt:lpstr>Channel Cfg Maker</vt:lpstr>
      <vt:lpstr>Mod 5</vt:lpstr>
      <vt:lpstr>Mod 6</vt:lpstr>
      <vt:lpstr>Mod 7</vt:lpstr>
      <vt:lpstr>Mod 8</vt:lpstr>
      <vt:lpstr>Mod 9</vt:lpstr>
      <vt:lpstr>Mod 10</vt:lpstr>
      <vt:lpstr>Mod 11</vt:lpstr>
      <vt:lpstr>Mod 12</vt:lpstr>
      <vt:lpstr>Extension 1</vt:lpstr>
      <vt:lpstr>Calculated Channels</vt:lpstr>
      <vt:lpstr>Calculation for Gas Analzers</vt:lpstr>
      <vt:lpstr>Channel Functions</vt:lpstr>
      <vt:lpstr>'Extension 1'!Print_Area</vt:lpstr>
      <vt:lpstr>'Mod 10'!Print_Area</vt:lpstr>
      <vt:lpstr>'Mod 11'!Print_Area</vt:lpstr>
      <vt:lpstr>'Mod 12'!Print_Area</vt:lpstr>
      <vt:lpstr>'Mod 5'!Print_Area</vt:lpstr>
      <vt:lpstr>'Mod 6'!Print_Area</vt:lpstr>
      <vt:lpstr>'Mod 7'!Print_Area</vt:lpstr>
      <vt:lpstr>'Mod 8'!Print_Area</vt:lpstr>
      <vt:lpstr>'Mod 9'!Print_Area</vt:lpstr>
    </vt:vector>
  </TitlesOfParts>
  <Company>Underwriters Laboratories (UL)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Zevotek, Robin</dc:creator>
  <cp:lastModifiedBy>UL</cp:lastModifiedBy>
  <cp:lastPrinted>2016-02-23T14:00:34Z</cp:lastPrinted>
  <dcterms:created xsi:type="dcterms:W3CDTF">2015-04-13T21:08:14Z</dcterms:created>
  <dcterms:modified xsi:type="dcterms:W3CDTF">2017-03-08T22:14:04Z</dcterms:modified>
</cp:coreProperties>
</file>