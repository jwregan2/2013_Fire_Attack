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codeName="{7A2D7E96-6E34-419A-AE5F-296B3A7E7977}"/>
  <workbookPr codeName="ThisWorkbook"/>
  <mc:AlternateContent xmlns:mc="http://schemas.openxmlformats.org/markup-compatibility/2006">
    <mc:Choice Requires="x15">
      <x15ac:absPath xmlns:x15ac="http://schemas.microsoft.com/office/spreadsheetml/2010/11/ac" url="/Users/39605/Desktop/Howard_Fire_Attack/1_Info/"/>
    </mc:Choice>
  </mc:AlternateContent>
  <bookViews>
    <workbookView minimized="1" xWindow="0" yWindow="460" windowWidth="25240" windowHeight="16620" activeTab="1"/>
  </bookViews>
  <sheets>
    <sheet name="Channel Cfg Maker" sheetId="15" r:id="rId1"/>
    <sheet name="Sheet1" sheetId="17" r:id="rId2"/>
    <sheet name="Prop_A_Channels" sheetId="18" r:id="rId3"/>
    <sheet name="Mod 5" sheetId="1" r:id="rId4"/>
    <sheet name="Mod 6" sheetId="2" r:id="rId5"/>
    <sheet name="Mod 7" sheetId="3" r:id="rId6"/>
    <sheet name="Mod 8" sheetId="4" r:id="rId7"/>
    <sheet name="Mod 9" sheetId="5" r:id="rId8"/>
    <sheet name="Mod 10" sheetId="6" r:id="rId9"/>
    <sheet name="Mod 11" sheetId="7" r:id="rId10"/>
    <sheet name="Mod 12" sheetId="8" r:id="rId11"/>
    <sheet name="Extension 1" sheetId="16" r:id="rId12"/>
    <sheet name="Calculated Channels" sheetId="9" r:id="rId13"/>
    <sheet name="Calculation for Gas Analzers" sheetId="10" r:id="rId14"/>
    <sheet name="Channel Functions" sheetId="14" r:id="rId15"/>
  </sheets>
  <definedNames>
    <definedName name="_xlnm.Print_Area" localSheetId="11">'Extension 1'!$A$2:$J$26</definedName>
    <definedName name="_xlnm.Print_Area" localSheetId="8">'Mod 10'!$A$1:$D$33</definedName>
    <definedName name="_xlnm.Print_Area" localSheetId="9">'Mod 11'!$A$1:$D$33</definedName>
    <definedName name="_xlnm.Print_Area" localSheetId="10">'Mod 12'!$A$1:$D$33</definedName>
    <definedName name="_xlnm.Print_Area" localSheetId="3">'Mod 5'!$A$1:$D$33</definedName>
    <definedName name="_xlnm.Print_Area" localSheetId="4">'Mod 6'!$A$1:$D$33</definedName>
    <definedName name="_xlnm.Print_Area" localSheetId="5">'Mod 7'!$A$1:$D$33</definedName>
    <definedName name="_xlnm.Print_Area" localSheetId="6">'Mod 8'!$A$1:$D$33</definedName>
    <definedName name="_xlnm.Print_Area" localSheetId="7">'Mod 9'!$A$1:$D$33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3" i="17" l="1"/>
  <c r="C33" i="17"/>
  <c r="D33" i="17"/>
  <c r="E33" i="17"/>
  <c r="F33" i="17"/>
  <c r="G33" i="17"/>
  <c r="H33" i="17"/>
  <c r="I33" i="17"/>
  <c r="B3" i="17"/>
  <c r="C3" i="17"/>
  <c r="D3" i="17"/>
  <c r="E3" i="17"/>
  <c r="F3" i="17"/>
  <c r="G3" i="17"/>
  <c r="H3" i="17"/>
  <c r="I3" i="17"/>
  <c r="B4" i="17"/>
  <c r="C4" i="17"/>
  <c r="D4" i="17"/>
  <c r="E4" i="17"/>
  <c r="F4" i="17"/>
  <c r="G4" i="17"/>
  <c r="H4" i="17"/>
  <c r="I4" i="17"/>
  <c r="B5" i="17"/>
  <c r="C5" i="17"/>
  <c r="D5" i="17"/>
  <c r="E5" i="17"/>
  <c r="F5" i="17"/>
  <c r="G5" i="17"/>
  <c r="H5" i="17"/>
  <c r="I5" i="17"/>
  <c r="B6" i="17"/>
  <c r="C6" i="17"/>
  <c r="D6" i="17"/>
  <c r="E6" i="17"/>
  <c r="F6" i="17"/>
  <c r="G6" i="17"/>
  <c r="H6" i="17"/>
  <c r="I6" i="17"/>
  <c r="B7" i="17"/>
  <c r="C7" i="17"/>
  <c r="D7" i="17"/>
  <c r="E7" i="17"/>
  <c r="F7" i="17"/>
  <c r="G7" i="17"/>
  <c r="H7" i="17"/>
  <c r="I7" i="17"/>
  <c r="B8" i="17"/>
  <c r="C8" i="17"/>
  <c r="D8" i="17"/>
  <c r="E8" i="17"/>
  <c r="F8" i="17"/>
  <c r="G8" i="17"/>
  <c r="H8" i="17"/>
  <c r="I8" i="17"/>
  <c r="B9" i="17"/>
  <c r="C9" i="17"/>
  <c r="D9" i="17"/>
  <c r="E9" i="17"/>
  <c r="F9" i="17"/>
  <c r="G9" i="17"/>
  <c r="H9" i="17"/>
  <c r="I9" i="17"/>
  <c r="B10" i="17"/>
  <c r="C10" i="17"/>
  <c r="D10" i="17"/>
  <c r="E10" i="17"/>
  <c r="F10" i="17"/>
  <c r="G10" i="17"/>
  <c r="H10" i="17"/>
  <c r="I10" i="17"/>
  <c r="B11" i="17"/>
  <c r="C11" i="17"/>
  <c r="D11" i="17"/>
  <c r="E11" i="17"/>
  <c r="F11" i="17"/>
  <c r="G11" i="17"/>
  <c r="H11" i="17"/>
  <c r="I11" i="17"/>
  <c r="B12" i="17"/>
  <c r="C12" i="17"/>
  <c r="D12" i="17"/>
  <c r="E12" i="17"/>
  <c r="F12" i="17"/>
  <c r="G12" i="17"/>
  <c r="H12" i="17"/>
  <c r="I12" i="17"/>
  <c r="B13" i="17"/>
  <c r="C13" i="17"/>
  <c r="D13" i="17"/>
  <c r="E13" i="17"/>
  <c r="F13" i="17"/>
  <c r="G13" i="17"/>
  <c r="H13" i="17"/>
  <c r="I13" i="17"/>
  <c r="B14" i="17"/>
  <c r="C14" i="17"/>
  <c r="D14" i="17"/>
  <c r="E14" i="17"/>
  <c r="F14" i="17"/>
  <c r="G14" i="17"/>
  <c r="H14" i="17"/>
  <c r="I14" i="17"/>
  <c r="B15" i="17"/>
  <c r="C15" i="17"/>
  <c r="D15" i="17"/>
  <c r="E15" i="17"/>
  <c r="F15" i="17"/>
  <c r="G15" i="17"/>
  <c r="H15" i="17"/>
  <c r="I15" i="17"/>
  <c r="B16" i="17"/>
  <c r="C16" i="17"/>
  <c r="D16" i="17"/>
  <c r="E16" i="17"/>
  <c r="F16" i="17"/>
  <c r="G16" i="17"/>
  <c r="H16" i="17"/>
  <c r="I16" i="17"/>
  <c r="B17" i="17"/>
  <c r="C17" i="17"/>
  <c r="D17" i="17"/>
  <c r="E17" i="17"/>
  <c r="F17" i="17"/>
  <c r="G17" i="17"/>
  <c r="H17" i="17"/>
  <c r="I17" i="17"/>
  <c r="B18" i="17"/>
  <c r="C18" i="17"/>
  <c r="D18" i="17"/>
  <c r="E18" i="17"/>
  <c r="F18" i="17"/>
  <c r="G18" i="17"/>
  <c r="H18" i="17"/>
  <c r="I18" i="17"/>
  <c r="B19" i="17"/>
  <c r="C19" i="17"/>
  <c r="D19" i="17"/>
  <c r="E19" i="17"/>
  <c r="F19" i="17"/>
  <c r="G19" i="17"/>
  <c r="H19" i="17"/>
  <c r="I19" i="17"/>
  <c r="B20" i="17"/>
  <c r="C20" i="17"/>
  <c r="D20" i="17"/>
  <c r="E20" i="17"/>
  <c r="F20" i="17"/>
  <c r="G20" i="17"/>
  <c r="H20" i="17"/>
  <c r="I20" i="17"/>
  <c r="B21" i="17"/>
  <c r="C21" i="17"/>
  <c r="D21" i="17"/>
  <c r="E21" i="17"/>
  <c r="F21" i="17"/>
  <c r="G21" i="17"/>
  <c r="H21" i="17"/>
  <c r="I21" i="17"/>
  <c r="B22" i="17"/>
  <c r="C22" i="17"/>
  <c r="D22" i="17"/>
  <c r="E22" i="17"/>
  <c r="F22" i="17"/>
  <c r="G22" i="17"/>
  <c r="H22" i="17"/>
  <c r="I22" i="17"/>
  <c r="B23" i="17"/>
  <c r="C23" i="17"/>
  <c r="D23" i="17"/>
  <c r="E23" i="17"/>
  <c r="F23" i="17"/>
  <c r="G23" i="17"/>
  <c r="H23" i="17"/>
  <c r="I23" i="17"/>
  <c r="B24" i="17"/>
  <c r="C24" i="17"/>
  <c r="D24" i="17"/>
  <c r="E24" i="17"/>
  <c r="F24" i="17"/>
  <c r="G24" i="17"/>
  <c r="H24" i="17"/>
  <c r="I24" i="17"/>
  <c r="B25" i="17"/>
  <c r="C25" i="17"/>
  <c r="D25" i="17"/>
  <c r="E25" i="17"/>
  <c r="F25" i="17"/>
  <c r="G25" i="17"/>
  <c r="H25" i="17"/>
  <c r="I25" i="17"/>
  <c r="B26" i="17"/>
  <c r="C26" i="17"/>
  <c r="D26" i="17"/>
  <c r="E26" i="17"/>
  <c r="F26" i="17"/>
  <c r="G26" i="17"/>
  <c r="H26" i="17"/>
  <c r="I26" i="17"/>
  <c r="B27" i="17"/>
  <c r="C27" i="17"/>
  <c r="D27" i="17"/>
  <c r="E27" i="17"/>
  <c r="F27" i="17"/>
  <c r="G27" i="17"/>
  <c r="H27" i="17"/>
  <c r="I27" i="17"/>
  <c r="B28" i="17"/>
  <c r="C28" i="17"/>
  <c r="D28" i="17"/>
  <c r="E28" i="17"/>
  <c r="F28" i="17"/>
  <c r="G28" i="17"/>
  <c r="H28" i="17"/>
  <c r="I28" i="17"/>
  <c r="B29" i="17"/>
  <c r="C29" i="17"/>
  <c r="D29" i="17"/>
  <c r="E29" i="17"/>
  <c r="F29" i="17"/>
  <c r="G29" i="17"/>
  <c r="H29" i="17"/>
  <c r="I29" i="17"/>
  <c r="B30" i="17"/>
  <c r="C30" i="17"/>
  <c r="D30" i="17"/>
  <c r="E30" i="17"/>
  <c r="F30" i="17"/>
  <c r="G30" i="17"/>
  <c r="H30" i="17"/>
  <c r="I30" i="17"/>
  <c r="B31" i="17"/>
  <c r="C31" i="17"/>
  <c r="D31" i="17"/>
  <c r="E31" i="17"/>
  <c r="F31" i="17"/>
  <c r="G31" i="17"/>
  <c r="H31" i="17"/>
  <c r="I31" i="17"/>
  <c r="B32" i="17"/>
  <c r="C32" i="17"/>
  <c r="D32" i="17"/>
  <c r="E32" i="17"/>
  <c r="F32" i="17"/>
  <c r="G32" i="17"/>
  <c r="H32" i="17"/>
  <c r="I32" i="17"/>
  <c r="B2" i="17"/>
  <c r="I2" i="17"/>
  <c r="H2" i="17"/>
  <c r="G2" i="17"/>
  <c r="F2" i="17"/>
  <c r="E2" i="17"/>
  <c r="D2" i="17"/>
  <c r="C2" i="17"/>
  <c r="I31" i="15"/>
  <c r="I30" i="15"/>
  <c r="I29" i="15"/>
  <c r="I28" i="15"/>
  <c r="I27" i="15"/>
  <c r="I26" i="15"/>
  <c r="I25" i="15"/>
  <c r="I24" i="15"/>
  <c r="I23" i="15"/>
  <c r="E20" i="15"/>
  <c r="K4" i="10"/>
  <c r="K5" i="10"/>
  <c r="K6" i="10"/>
  <c r="K7" i="10"/>
  <c r="K8" i="10"/>
  <c r="K3" i="10"/>
  <c r="G4" i="10"/>
  <c r="G5" i="10"/>
  <c r="G6" i="10"/>
  <c r="G7" i="10"/>
  <c r="G8" i="10"/>
  <c r="G3" i="10"/>
  <c r="B4" i="10"/>
  <c r="B5" i="10"/>
  <c r="B6" i="10"/>
  <c r="B7" i="10"/>
  <c r="B8" i="10"/>
  <c r="B3" i="10"/>
</calcChain>
</file>

<file path=xl/sharedStrings.xml><?xml version="1.0" encoding="utf-8"?>
<sst xmlns="http://schemas.openxmlformats.org/spreadsheetml/2006/main" count="844" uniqueCount="181">
  <si>
    <t>Channel Name</t>
  </si>
  <si>
    <t>Module</t>
  </si>
  <si>
    <t>Channel Number</t>
  </si>
  <si>
    <t>ChannelName</t>
  </si>
  <si>
    <t>Formula</t>
  </si>
  <si>
    <t>Voltage</t>
  </si>
  <si>
    <t>Conc %</t>
  </si>
  <si>
    <t>Conc PPM</t>
  </si>
  <si>
    <t>CO</t>
  </si>
  <si>
    <t>CO2</t>
  </si>
  <si>
    <t>O2</t>
  </si>
  <si>
    <t>mA</t>
  </si>
  <si>
    <t>"None"</t>
  </si>
  <si>
    <t>Units</t>
  </si>
  <si>
    <t>Function</t>
  </si>
  <si>
    <t>Temperature C</t>
  </si>
  <si>
    <t>Pressure Voltage</t>
  </si>
  <si>
    <t xml:space="preserve">Function </t>
  </si>
  <si>
    <t>Min</t>
  </si>
  <si>
    <t>Max</t>
  </si>
  <si>
    <t>Data Logger</t>
  </si>
  <si>
    <t>SC1</t>
  </si>
  <si>
    <t>SC2</t>
  </si>
  <si>
    <t>05</t>
  </si>
  <si>
    <t>06</t>
  </si>
  <si>
    <t>07</t>
  </si>
  <si>
    <t>08</t>
  </si>
  <si>
    <t>09</t>
  </si>
  <si>
    <t>00</t>
  </si>
  <si>
    <t>01</t>
  </si>
  <si>
    <t>02</t>
  </si>
  <si>
    <t>03</t>
  </si>
  <si>
    <t>04</t>
  </si>
  <si>
    <t>Gas Voltage</t>
  </si>
  <si>
    <t>"Thermocouple (K)"</t>
  </si>
  <si>
    <t>"Voltage"</t>
  </si>
  <si>
    <t>"C"</t>
  </si>
  <si>
    <t>"V"</t>
  </si>
  <si>
    <t>Alarm</t>
  </si>
  <si>
    <t>"High Only"</t>
  </si>
  <si>
    <t>Low</t>
  </si>
  <si>
    <t>High</t>
  </si>
  <si>
    <t>-0.100000</t>
  </si>
  <si>
    <t>-5.000000</t>
  </si>
  <si>
    <t>0.100000</t>
  </si>
  <si>
    <t>5.000000</t>
  </si>
  <si>
    <t>0.000000</t>
  </si>
  <si>
    <t>-0.099000</t>
  </si>
  <si>
    <t>0.099000</t>
  </si>
  <si>
    <t>-245.729755</t>
  </si>
  <si>
    <t>Total Number of Channels</t>
  </si>
  <si>
    <t>Mod 05</t>
  </si>
  <si>
    <t>Mod 06</t>
  </si>
  <si>
    <t>Mod 07</t>
  </si>
  <si>
    <t>Mod 08</t>
  </si>
  <si>
    <t>Mod 09</t>
  </si>
  <si>
    <t>Mod 10</t>
  </si>
  <si>
    <t>Mod 11</t>
  </si>
  <si>
    <t>Mod 12</t>
  </si>
  <si>
    <t>Calc Channels</t>
  </si>
  <si>
    <t>This program is designed to be used with the following Module and Channel Configurations in MAX</t>
  </si>
  <si>
    <t>Module 5</t>
  </si>
  <si>
    <t>Channels 0-31</t>
  </si>
  <si>
    <t>Type K TC</t>
  </si>
  <si>
    <t>Module 6</t>
  </si>
  <si>
    <t>Module 7</t>
  </si>
  <si>
    <t>Module 8</t>
  </si>
  <si>
    <t>Module 9</t>
  </si>
  <si>
    <t>Module 10</t>
  </si>
  <si>
    <t>Module 11</t>
  </si>
  <si>
    <t>Module 12</t>
  </si>
  <si>
    <t xml:space="preserve">Gas Voltage -5 to 5 </t>
  </si>
  <si>
    <t>Pressure Voltage -5 to 5</t>
  </si>
  <si>
    <t>Fill in the channel names on each module. Blank channels will be named but not turned on. Fill in the calculated channels and select the "Create Channels" button below.</t>
  </si>
  <si>
    <t>You will be prompted for the name and location to save your .chcfg file. Enter the file name and select "Save As" to create your file. If the total number of channels</t>
  </si>
  <si>
    <t>exceeds 256 you will need to turn off either physical or calculated channels to validate in the UL fire safety tester program.</t>
  </si>
  <si>
    <t>1TC1</t>
  </si>
  <si>
    <t>1TC3</t>
  </si>
  <si>
    <t>1TC5</t>
  </si>
  <si>
    <t>1TC7</t>
  </si>
  <si>
    <t>2TC1</t>
  </si>
  <si>
    <t>2TC3</t>
  </si>
  <si>
    <t>2TC5</t>
  </si>
  <si>
    <t>2TC7</t>
  </si>
  <si>
    <t>3TC1</t>
  </si>
  <si>
    <t>3TC3</t>
  </si>
  <si>
    <t>3TC5</t>
  </si>
  <si>
    <t>3TC7</t>
  </si>
  <si>
    <t>4TC1</t>
  </si>
  <si>
    <t>4TC3</t>
  </si>
  <si>
    <t>4TC5</t>
  </si>
  <si>
    <t>4TC7</t>
  </si>
  <si>
    <t>1BDP1T</t>
  </si>
  <si>
    <t>1BDP2T</t>
  </si>
  <si>
    <t>1BDP3T</t>
  </si>
  <si>
    <t>1BDP4T</t>
  </si>
  <si>
    <t>1BDP5T</t>
  </si>
  <si>
    <t>2BDP1T</t>
  </si>
  <si>
    <t>2BDP2T</t>
  </si>
  <si>
    <t>2BDP3T</t>
  </si>
  <si>
    <t>2BDP4T</t>
  </si>
  <si>
    <t>2BDP5T</t>
  </si>
  <si>
    <t>3BDP1T</t>
  </si>
  <si>
    <t>3BDP2T</t>
  </si>
  <si>
    <t>3BDP3T</t>
  </si>
  <si>
    <t>3BDP4T</t>
  </si>
  <si>
    <t>3BDP5T</t>
  </si>
  <si>
    <t>4BDP1T</t>
  </si>
  <si>
    <t>4BDP2T</t>
  </si>
  <si>
    <t>4BDP3T</t>
  </si>
  <si>
    <t>4BDP4T</t>
  </si>
  <si>
    <t>4BDP5T</t>
  </si>
  <si>
    <t>2BDP1V</t>
  </si>
  <si>
    <t>2BDP2V</t>
  </si>
  <si>
    <t>2BDP3V</t>
  </si>
  <si>
    <t>2BDP4V</t>
  </si>
  <si>
    <t>2BDP5V</t>
  </si>
  <si>
    <t>3BDP1V</t>
  </si>
  <si>
    <t>3BDP2V</t>
  </si>
  <si>
    <t>3BDP3V</t>
  </si>
  <si>
    <t>3BDP4V</t>
  </si>
  <si>
    <t>3BDP5V</t>
  </si>
  <si>
    <t>4BDP1V</t>
  </si>
  <si>
    <t>4BDP2V</t>
  </si>
  <si>
    <t>4BDP3V</t>
  </si>
  <si>
    <t>4BDP4V</t>
  </si>
  <si>
    <t>4BDP5V</t>
  </si>
  <si>
    <t>Extension</t>
  </si>
  <si>
    <t>Connector</t>
  </si>
  <si>
    <t>PT1000</t>
  </si>
  <si>
    <t>Humidity Voltage</t>
  </si>
  <si>
    <t>Channels 0-18</t>
  </si>
  <si>
    <t>Channels 19-31</t>
  </si>
  <si>
    <t>Channels 0-11</t>
  </si>
  <si>
    <t>HeatFlux Voltage -0.1 to 0.1</t>
  </si>
  <si>
    <t>Channels 12-22</t>
  </si>
  <si>
    <t>Channels 22-31</t>
  </si>
  <si>
    <t>Generic Voltage -5 to 5</t>
  </si>
  <si>
    <t>3TC2</t>
  </si>
  <si>
    <t>3TC4</t>
  </si>
  <si>
    <t>3TC6</t>
  </si>
  <si>
    <t>4TC2</t>
  </si>
  <si>
    <t>4TC4</t>
  </si>
  <si>
    <t>4TC6</t>
  </si>
  <si>
    <t>1BDP1V</t>
  </si>
  <si>
    <t>1BDP2V</t>
  </si>
  <si>
    <t>1BDP3V</t>
  </si>
  <si>
    <t>1BDP4V</t>
  </si>
  <si>
    <t>1BDP5V</t>
  </si>
  <si>
    <t>SC3</t>
  </si>
  <si>
    <t>1232.065825</t>
  </si>
  <si>
    <t>HF Voltage</t>
  </si>
  <si>
    <t>1230.00000</t>
  </si>
  <si>
    <t>Extension 1</t>
  </si>
  <si>
    <t>Sesnsor</t>
  </si>
  <si>
    <t>"High and Low"</t>
  </si>
  <si>
    <t>0.0010000</t>
  </si>
  <si>
    <t>1PT1</t>
  </si>
  <si>
    <t>1PT7</t>
  </si>
  <si>
    <t>Flow Voltage</t>
  </si>
  <si>
    <t>0.0000000</t>
  </si>
  <si>
    <t>9.9800000</t>
  </si>
  <si>
    <t>-10.00000</t>
  </si>
  <si>
    <t>10.00000</t>
  </si>
  <si>
    <t>4.900000</t>
  </si>
  <si>
    <t>1TC2</t>
  </si>
  <si>
    <t>1TC4</t>
  </si>
  <si>
    <t>1TC6</t>
  </si>
  <si>
    <t>2TC2</t>
  </si>
  <si>
    <t>2TC4</t>
  </si>
  <si>
    <t>2TC6</t>
  </si>
  <si>
    <t>1PT4</t>
  </si>
  <si>
    <t>2PT1</t>
  </si>
  <si>
    <t>2PT4</t>
  </si>
  <si>
    <t>2PT7</t>
  </si>
  <si>
    <t>Channel</t>
  </si>
  <si>
    <t>Mod 5</t>
  </si>
  <si>
    <t>Mod 6</t>
  </si>
  <si>
    <t xml:space="preserve">Mod 7 </t>
  </si>
  <si>
    <t>Mod 8</t>
  </si>
  <si>
    <t>Mod 9</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</si>
</sst>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1"/>
      <color rgb="FF000000"/>
      <name val="Calibri"/>
      <family val="2"/>
    </font>
    <font>
      <sz val="72"/>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center"/>
    </xf>
    <xf numFmtId="0" fontId="0" fillId="0" borderId="0" xfId="0" applyAlignment="1"/>
    <xf numFmtId="0" fontId="0" fillId="0" borderId="0" xfId="0" applyAlignment="1">
      <alignment horizontal="center"/>
    </xf>
    <xf numFmtId="0" fontId="1" fillId="0" borderId="0" xfId="0" applyFont="1"/>
    <xf numFmtId="0" fontId="0" fillId="2" borderId="0" xfId="0" applyFill="1"/>
    <xf numFmtId="49" fontId="0" fillId="0" borderId="0" xfId="0" applyNumberFormat="1"/>
    <xf numFmtId="49" fontId="0" fillId="0" borderId="0" xfId="0" applyNumberFormat="1" applyAlignment="1">
      <alignment horizontal="center"/>
    </xf>
    <xf numFmtId="0" fontId="0" fillId="0" borderId="1" xfId="0" applyBorder="1"/>
    <xf numFmtId="49" fontId="0" fillId="0" borderId="1" xfId="0" applyNumberFormat="1" applyBorder="1" applyAlignment="1">
      <alignment horizontal="center"/>
    </xf>
    <xf numFmtId="0" fontId="0" fillId="0" borderId="1" xfId="0" applyBorder="1" applyAlignment="1">
      <alignment horizontal="center"/>
    </xf>
    <xf numFmtId="0" fontId="3" fillId="0" borderId="0" xfId="0" applyFont="1" applyAlignment="1">
      <alignment horizontal="center" vertical="center"/>
    </xf>
    <xf numFmtId="0" fontId="0" fillId="0" borderId="0" xfId="0" applyAlignment="1">
      <alignment horizontal="center"/>
    </xf>
  </cellXfs>
  <cellStyles count="1">
    <cellStyle name="Normal" xfId="0" builtinId="0"/>
  </cellStyles>
  <dxfs count="2">
    <dxf>
      <font>
        <color theme="0"/>
      </font>
      <fill>
        <patternFill>
          <bgColor rgb="FFFF00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0.00588013998250219"/>
                  <c:y val="-0.05578448527267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Analzers'!$B$3:$B$8</c:f>
              <c:numCache>
                <c:formatCode>General</c:formatCode>
                <c:ptCount val="6"/>
                <c:pt idx="0">
                  <c:v>0.0</c:v>
                </c:pt>
                <c:pt idx="1">
                  <c:v>1.0</c:v>
                </c:pt>
                <c:pt idx="2">
                  <c:v>2.0</c:v>
                </c:pt>
                <c:pt idx="3">
                  <c:v>3.0</c:v>
                </c:pt>
                <c:pt idx="4">
                  <c:v>4.0</c:v>
                </c:pt>
                <c:pt idx="5">
                  <c:v>5.0</c:v>
                </c:pt>
              </c:numCache>
            </c:numRef>
          </c:xVal>
          <c:yVal>
            <c:numRef>
              <c:f>'Calculation for Gas Analzers'!$D$3:$D$8</c:f>
              <c:numCache>
                <c:formatCode>General</c:formatCode>
                <c:ptCount val="6"/>
                <c:pt idx="0">
                  <c:v>0.0</c:v>
                </c:pt>
                <c:pt idx="1">
                  <c:v>10000.0</c:v>
                </c:pt>
                <c:pt idx="2">
                  <c:v>20000.0</c:v>
                </c:pt>
                <c:pt idx="3">
                  <c:v>30000.0</c:v>
                </c:pt>
                <c:pt idx="4">
                  <c:v>40000.0</c:v>
                </c:pt>
                <c:pt idx="5">
                  <c:v>50000.0</c:v>
                </c:pt>
              </c:numCache>
            </c:numRef>
          </c:yVal>
          <c:smooth val="1"/>
        </c:ser>
        <c:dLbls>
          <c:showLegendKey val="0"/>
          <c:showVal val="0"/>
          <c:showCatName val="0"/>
          <c:showSerName val="0"/>
          <c:showPercent val="0"/>
          <c:showBubbleSize val="0"/>
        </c:dLbls>
        <c:axId val="1962342272"/>
        <c:axId val="1962499216"/>
      </c:scatterChart>
      <c:valAx>
        <c:axId val="1962342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499216"/>
        <c:crosses val="autoZero"/>
        <c:crossBetween val="midCat"/>
      </c:valAx>
      <c:valAx>
        <c:axId val="1962499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3422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'Calculation for Gas Analzers'!$H$2</c:f>
              <c:strCache>
                <c:ptCount val="1"/>
                <c:pt idx="0">
                  <c:v>Conc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0.0190087489063867"/>
                  <c:y val="-0.055784485272674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Analzers'!$G$3:$G$8</c:f>
              <c:numCache>
                <c:formatCode>General</c:formatCode>
                <c:ptCount val="6"/>
                <c:pt idx="0">
                  <c:v>0.0</c:v>
                </c:pt>
                <c:pt idx="1">
                  <c:v>1.0</c:v>
                </c:pt>
                <c:pt idx="2">
                  <c:v>2.0</c:v>
                </c:pt>
                <c:pt idx="3">
                  <c:v>3.0</c:v>
                </c:pt>
                <c:pt idx="4">
                  <c:v>4.0</c:v>
                </c:pt>
                <c:pt idx="5">
                  <c:v>5.0</c:v>
                </c:pt>
              </c:numCache>
            </c:numRef>
          </c:xVal>
          <c:yVal>
            <c:numRef>
              <c:f>'Calculation for Gas Analzers'!$H$3:$H$8</c:f>
              <c:numCache>
                <c:formatCode>General</c:formatCode>
                <c:ptCount val="6"/>
                <c:pt idx="0">
                  <c:v>0.0</c:v>
                </c:pt>
                <c:pt idx="1">
                  <c:v>5.0</c:v>
                </c:pt>
                <c:pt idx="2">
                  <c:v>10.0</c:v>
                </c:pt>
                <c:pt idx="3">
                  <c:v>15.0</c:v>
                </c:pt>
                <c:pt idx="4">
                  <c:v>20.0</c:v>
                </c:pt>
                <c:pt idx="5">
                  <c:v>25.0</c:v>
                </c:pt>
              </c:numCache>
            </c:numRef>
          </c:yVal>
          <c:smooth val="1"/>
        </c:ser>
        <c:dLbls>
          <c:showLegendKey val="0"/>
          <c:showVal val="0"/>
          <c:showCatName val="0"/>
          <c:showSerName val="0"/>
          <c:showPercent val="0"/>
          <c:showBubbleSize val="0"/>
        </c:dLbls>
        <c:axId val="2115095152"/>
        <c:axId val="2115096928"/>
      </c:scatterChart>
      <c:valAx>
        <c:axId val="2115095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096928"/>
        <c:crosses val="autoZero"/>
        <c:crossBetween val="midCat"/>
      </c:valAx>
      <c:valAx>
        <c:axId val="2115096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0951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'Calculation for Gas Analzers'!$L$2</c:f>
              <c:strCache>
                <c:ptCount val="1"/>
                <c:pt idx="0">
                  <c:v>Conc %</c:v>
                </c:pt>
              </c:strCache>
            </c:strRef>
          </c:tx>
          <c:spPr>
            <a:ln w="19050"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0.0162309711286089"/>
                  <c:y val="-0.05115485564304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'Calculation for Gas Analzers'!$K$3:$K$8</c:f>
              <c:numCache>
                <c:formatCode>General</c:formatCode>
                <c:ptCount val="6"/>
                <c:pt idx="0">
                  <c:v>0.0</c:v>
                </c:pt>
                <c:pt idx="1">
                  <c:v>1.0</c:v>
                </c:pt>
                <c:pt idx="2">
                  <c:v>2.0</c:v>
                </c:pt>
                <c:pt idx="3">
                  <c:v>3.0</c:v>
                </c:pt>
                <c:pt idx="4">
                  <c:v>4.0</c:v>
                </c:pt>
                <c:pt idx="5">
                  <c:v>5.0</c:v>
                </c:pt>
              </c:numCache>
            </c:numRef>
          </c:xVal>
          <c:yVal>
            <c:numRef>
              <c:f>'Calculation for Gas Analzers'!$L$3:$L$8</c:f>
              <c:numCache>
                <c:formatCode>General</c:formatCode>
                <c:ptCount val="6"/>
                <c:pt idx="0">
                  <c:v>0.0</c:v>
                </c:pt>
                <c:pt idx="1">
                  <c:v>5.0</c:v>
                </c:pt>
                <c:pt idx="2">
                  <c:v>10.0</c:v>
                </c:pt>
                <c:pt idx="3">
                  <c:v>15.0</c:v>
                </c:pt>
                <c:pt idx="4">
                  <c:v>20.0</c:v>
                </c:pt>
                <c:pt idx="5">
                  <c:v>25.0</c:v>
                </c:pt>
              </c:numCache>
            </c:numRef>
          </c:yVal>
          <c:smooth val="1"/>
        </c:ser>
        <c:dLbls>
          <c:showLegendKey val="0"/>
          <c:showVal val="0"/>
          <c:showCatName val="0"/>
          <c:showSerName val="0"/>
          <c:showPercent val="0"/>
          <c:showBubbleSize val="0"/>
        </c:dLbls>
        <c:axId val="2001886816"/>
        <c:axId val="2001888592"/>
      </c:scatterChart>
      <c:valAx>
        <c:axId val="2001886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888592"/>
        <c:crosses val="autoZero"/>
        <c:crossBetween val="midCat"/>
      </c:valAx>
      <c:valAx>
        <c:axId val="200188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886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21</xdr:row>
          <xdr:rowOff>25400</xdr:rowOff>
        </xdr:from>
        <xdr:to>
          <xdr:col>3</xdr:col>
          <xdr:colOff>0</xdr:colOff>
          <xdr:row>23</xdr:row>
          <xdr:rowOff>165100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Channels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342900</xdr:colOff>
      <xdr:row>11</xdr:row>
      <xdr:rowOff>19050</xdr:rowOff>
    </xdr:from>
    <xdr:to>
      <xdr:col>6</xdr:col>
      <xdr:colOff>314325</xdr:colOff>
      <xdr:row>22</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423862</xdr:colOff>
      <xdr:row>11</xdr:row>
      <xdr:rowOff>9525</xdr:rowOff>
    </xdr:from>
    <xdr:to>
      <xdr:col>12</xdr:col>
      <xdr:colOff>552450</xdr:colOff>
      <xdr:row>22</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95249</xdr:colOff>
      <xdr:row>10</xdr:row>
      <xdr:rowOff>190499</xdr:rowOff>
    </xdr:from>
    <xdr:to>
      <xdr:col>19</xdr:col>
      <xdr:colOff>400050</xdr:colOff>
      <xdr:row>22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A1:I31"/>
  <sheetViews>
    <sheetView topLeftCell="A9" workbookViewId="0">
      <selection activeCell="C20" sqref="C20"/>
    </sheetView>
  </sheetViews>
  <sheetFormatPr baseColWidth="10" defaultColWidth="8.83203125" defaultRowHeight="15" x14ac:dyDescent="0.2"/>
  <cols>
    <col min="1" max="1" width="11.33203125" bestFit="1" customWidth="1"/>
    <col min="2" max="2" width="14.33203125" bestFit="1" customWidth="1"/>
    <col min="3" max="3" width="25.6640625" bestFit="1" customWidth="1"/>
    <col min="6" max="6" width="9.1640625" customWidth="1"/>
    <col min="8" max="8" width="13.33203125" hidden="1" customWidth="1"/>
    <col min="9" max="9" width="9.1640625" hidden="1" customWidth="1"/>
  </cols>
  <sheetData>
    <row r="1" spans="1:3" x14ac:dyDescent="0.2">
      <c r="A1" t="s">
        <v>60</v>
      </c>
    </row>
    <row r="3" spans="1:3" x14ac:dyDescent="0.2">
      <c r="A3" t="s">
        <v>61</v>
      </c>
      <c r="B3" t="s">
        <v>62</v>
      </c>
      <c r="C3" t="s">
        <v>63</v>
      </c>
    </row>
    <row r="4" spans="1:3" x14ac:dyDescent="0.2">
      <c r="A4" t="s">
        <v>64</v>
      </c>
      <c r="B4" t="s">
        <v>62</v>
      </c>
      <c r="C4" t="s">
        <v>63</v>
      </c>
    </row>
    <row r="5" spans="1:3" x14ac:dyDescent="0.2">
      <c r="A5" t="s">
        <v>65</v>
      </c>
      <c r="B5" t="s">
        <v>62</v>
      </c>
      <c r="C5" t="s">
        <v>63</v>
      </c>
    </row>
    <row r="6" spans="1:3" x14ac:dyDescent="0.2">
      <c r="A6" t="s">
        <v>66</v>
      </c>
      <c r="B6" t="s">
        <v>62</v>
      </c>
      <c r="C6" t="s">
        <v>63</v>
      </c>
    </row>
    <row r="7" spans="1:3" x14ac:dyDescent="0.2">
      <c r="A7" t="s">
        <v>67</v>
      </c>
      <c r="B7" t="s">
        <v>62</v>
      </c>
      <c r="C7" t="s">
        <v>63</v>
      </c>
    </row>
    <row r="8" spans="1:3" x14ac:dyDescent="0.2">
      <c r="A8" t="s">
        <v>68</v>
      </c>
      <c r="B8" t="s">
        <v>131</v>
      </c>
      <c r="C8" t="s">
        <v>63</v>
      </c>
    </row>
    <row r="9" spans="1:3" x14ac:dyDescent="0.2">
      <c r="A9" t="s">
        <v>68</v>
      </c>
      <c r="B9" t="s">
        <v>132</v>
      </c>
      <c r="C9" t="s">
        <v>71</v>
      </c>
    </row>
    <row r="10" spans="1:3" x14ac:dyDescent="0.2">
      <c r="A10" t="s">
        <v>69</v>
      </c>
      <c r="B10" t="s">
        <v>62</v>
      </c>
      <c r="C10" t="s">
        <v>72</v>
      </c>
    </row>
    <row r="11" spans="1:3" x14ac:dyDescent="0.2">
      <c r="A11" t="s">
        <v>70</v>
      </c>
      <c r="B11" t="s">
        <v>133</v>
      </c>
      <c r="C11" t="s">
        <v>72</v>
      </c>
    </row>
    <row r="12" spans="1:3" x14ac:dyDescent="0.2">
      <c r="A12" t="s">
        <v>70</v>
      </c>
      <c r="B12" t="s">
        <v>135</v>
      </c>
      <c r="C12" t="s">
        <v>134</v>
      </c>
    </row>
    <row r="13" spans="1:3" x14ac:dyDescent="0.2">
      <c r="A13" t="s">
        <v>70</v>
      </c>
      <c r="B13" t="s">
        <v>136</v>
      </c>
      <c r="C13" t="s">
        <v>137</v>
      </c>
    </row>
    <row r="15" spans="1:3" x14ac:dyDescent="0.2">
      <c r="A15" t="s">
        <v>73</v>
      </c>
    </row>
    <row r="16" spans="1:3" x14ac:dyDescent="0.2">
      <c r="A16" t="s">
        <v>74</v>
      </c>
    </row>
    <row r="17" spans="1:9" x14ac:dyDescent="0.2">
      <c r="A17" t="s">
        <v>75</v>
      </c>
    </row>
    <row r="19" spans="1:9" x14ac:dyDescent="0.2">
      <c r="E19" t="s">
        <v>50</v>
      </c>
    </row>
    <row r="20" spans="1:9" x14ac:dyDescent="0.2">
      <c r="A20" s="4" t="s">
        <v>20</v>
      </c>
      <c r="B20" s="5" t="s">
        <v>22</v>
      </c>
      <c r="E20">
        <f>SUM(I23:I31)</f>
        <v>76</v>
      </c>
      <c r="I20" t="s">
        <v>21</v>
      </c>
    </row>
    <row r="21" spans="1:9" x14ac:dyDescent="0.2">
      <c r="I21" t="s">
        <v>22</v>
      </c>
    </row>
    <row r="22" spans="1:9" x14ac:dyDescent="0.2">
      <c r="I22" t="s">
        <v>149</v>
      </c>
    </row>
    <row r="23" spans="1:9" x14ac:dyDescent="0.2">
      <c r="H23" t="s">
        <v>51</v>
      </c>
      <c r="I23">
        <f>COUNTA('Mod 7'!C2:C33)</f>
        <v>28</v>
      </c>
    </row>
    <row r="24" spans="1:9" x14ac:dyDescent="0.2">
      <c r="H24" t="s">
        <v>52</v>
      </c>
      <c r="I24">
        <f>COUNTA('Mod 6'!C25:C33)</f>
        <v>0</v>
      </c>
    </row>
    <row r="25" spans="1:9" x14ac:dyDescent="0.2">
      <c r="H25" t="s">
        <v>53</v>
      </c>
      <c r="I25">
        <f>COUNTA('Mod 7'!#REF!)</f>
        <v>1</v>
      </c>
    </row>
    <row r="26" spans="1:9" x14ac:dyDescent="0.2">
      <c r="H26" t="s">
        <v>54</v>
      </c>
      <c r="I26">
        <f>COUNTA('Mod 8'!C2:C33)</f>
        <v>20</v>
      </c>
    </row>
    <row r="27" spans="1:9" x14ac:dyDescent="0.2">
      <c r="H27" t="s">
        <v>55</v>
      </c>
      <c r="I27">
        <f>COUNTA('Mod 9'!C2:C33)</f>
        <v>0</v>
      </c>
    </row>
    <row r="28" spans="1:9" x14ac:dyDescent="0.2">
      <c r="H28" t="s">
        <v>56</v>
      </c>
      <c r="I28">
        <f>COUNTA('Mod 10'!C2:C33)</f>
        <v>0</v>
      </c>
    </row>
    <row r="29" spans="1:9" x14ac:dyDescent="0.2">
      <c r="H29" t="s">
        <v>57</v>
      </c>
      <c r="I29">
        <f>COUNTA('Mod 12'!C2:C33)</f>
        <v>26</v>
      </c>
    </row>
    <row r="30" spans="1:9" x14ac:dyDescent="0.2">
      <c r="H30" t="s">
        <v>58</v>
      </c>
      <c r="I30">
        <f>COUNTA('Mod 12'!#REF!)</f>
        <v>1</v>
      </c>
    </row>
    <row r="31" spans="1:9" x14ac:dyDescent="0.2">
      <c r="H31" t="s">
        <v>59</v>
      </c>
      <c r="I31">
        <f>COUNTA('Calculated Channels'!A:A)-1</f>
        <v>0</v>
      </c>
    </row>
  </sheetData>
  <conditionalFormatting sqref="E20">
    <cfRule type="cellIs" dxfId="1" priority="1" operator="lessThan">
      <formula>257</formula>
    </cfRule>
    <cfRule type="cellIs" dxfId="0" priority="2" operator="greaterThan">
      <formula>256</formula>
    </cfRule>
  </conditionalFormatting>
  <dataValidations count="1">
    <dataValidation type="list" allowBlank="1" showInputMessage="1" showErrorMessage="1" sqref="B20">
      <formula1>$I$20:$I$22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WriteChannelsTxt">
                <anchor moveWithCells="1" sizeWithCells="1">
                  <from>
                    <xdr:col>1</xdr:col>
                    <xdr:colOff>25400</xdr:colOff>
                    <xdr:row>21</xdr:row>
                    <xdr:rowOff>25400</xdr:rowOff>
                  </from>
                  <to>
                    <xdr:col>3</xdr:col>
                    <xdr:colOff>0</xdr:colOff>
                    <xdr:row>23</xdr:row>
                    <xdr:rowOff>165100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3"/>
  <sheetViews>
    <sheetView tabSelected="1" workbookViewId="0">
      <selection sqref="A1:I33"/>
    </sheetView>
  </sheetViews>
  <sheetFormatPr baseColWidth="10" defaultRowHeight="15" x14ac:dyDescent="0.2"/>
  <sheetData>
    <row r="1" spans="1:9" x14ac:dyDescent="0.2">
      <c r="A1" t="s">
        <v>175</v>
      </c>
      <c r="B1" t="s">
        <v>176</v>
      </c>
      <c r="C1" t="s">
        <v>177</v>
      </c>
      <c r="D1" t="s">
        <v>178</v>
      </c>
      <c r="E1" t="s">
        <v>179</v>
      </c>
      <c r="F1" t="s">
        <v>180</v>
      </c>
      <c r="G1" t="s">
        <v>56</v>
      </c>
      <c r="H1" t="s">
        <v>57</v>
      </c>
      <c r="I1" t="s">
        <v>58</v>
      </c>
    </row>
    <row r="2" spans="1:9" x14ac:dyDescent="0.2">
      <c r="A2">
        <v>0</v>
      </c>
      <c r="B2">
        <f>'Mod 5'!$C2</f>
        <v>0</v>
      </c>
      <c r="C2">
        <f>'Mod 6'!$C2</f>
        <v>0</v>
      </c>
      <c r="D2" t="str">
        <f>'Mod 7'!$C2</f>
        <v>1TC1</v>
      </c>
      <c r="E2" t="str">
        <f>'Mod 8'!$C2</f>
        <v>1BDP1T</v>
      </c>
      <c r="F2">
        <f>'Mod 9'!$C2</f>
        <v>0</v>
      </c>
      <c r="G2">
        <f>'Mod 10'!$C2</f>
        <v>0</v>
      </c>
      <c r="H2">
        <f>'Mod 11'!$C2</f>
        <v>0</v>
      </c>
      <c r="I2" t="str">
        <f>'Mod 12'!$C2</f>
        <v>1BDP1V</v>
      </c>
    </row>
    <row r="3" spans="1:9" x14ac:dyDescent="0.2">
      <c r="A3">
        <v>1</v>
      </c>
      <c r="B3">
        <f>'Mod 5'!$C3</f>
        <v>0</v>
      </c>
      <c r="C3">
        <f>'Mod 6'!$C3</f>
        <v>0</v>
      </c>
      <c r="D3" t="str">
        <f>'Mod 7'!$C3</f>
        <v>1TC2</v>
      </c>
      <c r="E3" t="str">
        <f>'Mod 8'!$C3</f>
        <v>1BDP2T</v>
      </c>
      <c r="F3">
        <f>'Mod 9'!$C3</f>
        <v>0</v>
      </c>
      <c r="G3">
        <f>'Mod 10'!$C3</f>
        <v>0</v>
      </c>
      <c r="H3">
        <f>'Mod 11'!$C3</f>
        <v>0</v>
      </c>
      <c r="I3" t="str">
        <f>'Mod 12'!$C3</f>
        <v>1BDP2V</v>
      </c>
    </row>
    <row r="4" spans="1:9" x14ac:dyDescent="0.2">
      <c r="A4">
        <v>2</v>
      </c>
      <c r="B4">
        <f>'Mod 5'!$C4</f>
        <v>0</v>
      </c>
      <c r="C4">
        <f>'Mod 6'!$C4</f>
        <v>0</v>
      </c>
      <c r="D4" t="str">
        <f>'Mod 7'!$C4</f>
        <v>1TC3</v>
      </c>
      <c r="E4" t="str">
        <f>'Mod 8'!$C4</f>
        <v>1BDP3T</v>
      </c>
      <c r="F4">
        <f>'Mod 9'!$C4</f>
        <v>0</v>
      </c>
      <c r="G4">
        <f>'Mod 10'!$C4</f>
        <v>0</v>
      </c>
      <c r="H4">
        <f>'Mod 11'!$C4</f>
        <v>0</v>
      </c>
      <c r="I4" t="str">
        <f>'Mod 12'!$C4</f>
        <v>1BDP3V</v>
      </c>
    </row>
    <row r="5" spans="1:9" x14ac:dyDescent="0.2">
      <c r="A5">
        <v>3</v>
      </c>
      <c r="B5">
        <f>'Mod 5'!$C5</f>
        <v>0</v>
      </c>
      <c r="C5">
        <f>'Mod 6'!$C5</f>
        <v>0</v>
      </c>
      <c r="D5" t="str">
        <f>'Mod 7'!$C5</f>
        <v>1TC4</v>
      </c>
      <c r="E5" t="str">
        <f>'Mod 8'!$C5</f>
        <v>1BDP4T</v>
      </c>
      <c r="F5">
        <f>'Mod 9'!$C5</f>
        <v>0</v>
      </c>
      <c r="G5">
        <f>'Mod 10'!$C5</f>
        <v>0</v>
      </c>
      <c r="H5">
        <f>'Mod 11'!$C5</f>
        <v>0</v>
      </c>
      <c r="I5" t="str">
        <f>'Mod 12'!$C5</f>
        <v>1BDP4V</v>
      </c>
    </row>
    <row r="6" spans="1:9" x14ac:dyDescent="0.2">
      <c r="A6">
        <v>4</v>
      </c>
      <c r="B6">
        <f>'Mod 5'!$C6</f>
        <v>0</v>
      </c>
      <c r="C6">
        <f>'Mod 6'!$C6</f>
        <v>0</v>
      </c>
      <c r="D6" t="str">
        <f>'Mod 7'!$C6</f>
        <v>1TC5</v>
      </c>
      <c r="E6" t="str">
        <f>'Mod 8'!$C6</f>
        <v>1BDP5T</v>
      </c>
      <c r="F6">
        <f>'Mod 9'!$C6</f>
        <v>0</v>
      </c>
      <c r="G6">
        <f>'Mod 10'!$C6</f>
        <v>0</v>
      </c>
      <c r="H6">
        <f>'Mod 11'!$C6</f>
        <v>0</v>
      </c>
      <c r="I6" t="str">
        <f>'Mod 12'!$C6</f>
        <v>1BDP5V</v>
      </c>
    </row>
    <row r="7" spans="1:9" x14ac:dyDescent="0.2">
      <c r="A7">
        <v>5</v>
      </c>
      <c r="B7">
        <f>'Mod 5'!$C7</f>
        <v>0</v>
      </c>
      <c r="C7">
        <f>'Mod 6'!$C7</f>
        <v>0</v>
      </c>
      <c r="D7" t="str">
        <f>'Mod 7'!$C7</f>
        <v>1TC6</v>
      </c>
      <c r="E7">
        <f>'Mod 8'!$C7</f>
        <v>0</v>
      </c>
      <c r="F7">
        <f>'Mod 9'!$C7</f>
        <v>0</v>
      </c>
      <c r="G7">
        <f>'Mod 10'!$C7</f>
        <v>0</v>
      </c>
      <c r="H7">
        <f>'Mod 11'!$C7</f>
        <v>0</v>
      </c>
      <c r="I7">
        <f>'Mod 12'!$C7</f>
        <v>0</v>
      </c>
    </row>
    <row r="8" spans="1:9" x14ac:dyDescent="0.2">
      <c r="A8">
        <v>6</v>
      </c>
      <c r="B8">
        <f>'Mod 5'!$C8</f>
        <v>0</v>
      </c>
      <c r="C8">
        <f>'Mod 6'!$C8</f>
        <v>0</v>
      </c>
      <c r="D8" t="str">
        <f>'Mod 7'!$C8</f>
        <v>1TC7</v>
      </c>
      <c r="E8" t="str">
        <f>'Mod 8'!$C8</f>
        <v>2BDP1T</v>
      </c>
      <c r="F8">
        <f>'Mod 9'!$C8</f>
        <v>0</v>
      </c>
      <c r="G8">
        <f>'Mod 10'!$C8</f>
        <v>0</v>
      </c>
      <c r="H8">
        <f>'Mod 11'!$C8</f>
        <v>0</v>
      </c>
      <c r="I8" t="str">
        <f>'Mod 12'!$C8</f>
        <v>2BDP1V</v>
      </c>
    </row>
    <row r="9" spans="1:9" x14ac:dyDescent="0.2">
      <c r="A9">
        <v>7</v>
      </c>
      <c r="B9">
        <f>'Mod 5'!$C9</f>
        <v>0</v>
      </c>
      <c r="C9">
        <f>'Mod 6'!$C9</f>
        <v>0</v>
      </c>
      <c r="D9">
        <f>'Mod 7'!$C9</f>
        <v>0</v>
      </c>
      <c r="E9" t="str">
        <f>'Mod 8'!$C9</f>
        <v>2BDP2T</v>
      </c>
      <c r="F9">
        <f>'Mod 9'!$C9</f>
        <v>0</v>
      </c>
      <c r="G9">
        <f>'Mod 10'!$C9</f>
        <v>0</v>
      </c>
      <c r="H9">
        <f>'Mod 11'!$C9</f>
        <v>0</v>
      </c>
      <c r="I9" t="str">
        <f>'Mod 12'!$C9</f>
        <v>2BDP2V</v>
      </c>
    </row>
    <row r="10" spans="1:9" x14ac:dyDescent="0.2">
      <c r="A10">
        <v>8</v>
      </c>
      <c r="B10">
        <f>'Mod 5'!$C10</f>
        <v>0</v>
      </c>
      <c r="C10">
        <f>'Mod 6'!$C10</f>
        <v>0</v>
      </c>
      <c r="D10" t="str">
        <f>'Mod 7'!$C10</f>
        <v>2TC1</v>
      </c>
      <c r="E10" t="str">
        <f>'Mod 8'!$C10</f>
        <v>2BDP3T</v>
      </c>
      <c r="F10">
        <f>'Mod 9'!$C10</f>
        <v>0</v>
      </c>
      <c r="G10">
        <f>'Mod 10'!$C10</f>
        <v>0</v>
      </c>
      <c r="H10">
        <f>'Mod 11'!$C10</f>
        <v>0</v>
      </c>
      <c r="I10" t="str">
        <f>'Mod 12'!$C10</f>
        <v>2BDP3V</v>
      </c>
    </row>
    <row r="11" spans="1:9" x14ac:dyDescent="0.2">
      <c r="A11">
        <v>9</v>
      </c>
      <c r="B11">
        <f>'Mod 5'!$C11</f>
        <v>0</v>
      </c>
      <c r="C11">
        <f>'Mod 6'!$C11</f>
        <v>0</v>
      </c>
      <c r="D11" t="str">
        <f>'Mod 7'!$C11</f>
        <v>2TC2</v>
      </c>
      <c r="E11" t="str">
        <f>'Mod 8'!$C11</f>
        <v>2BDP4T</v>
      </c>
      <c r="F11">
        <f>'Mod 9'!$C11</f>
        <v>0</v>
      </c>
      <c r="G11">
        <f>'Mod 10'!$C11</f>
        <v>0</v>
      </c>
      <c r="H11">
        <f>'Mod 11'!$C11</f>
        <v>0</v>
      </c>
      <c r="I11" t="str">
        <f>'Mod 12'!$C11</f>
        <v>2BDP4V</v>
      </c>
    </row>
    <row r="12" spans="1:9" x14ac:dyDescent="0.2">
      <c r="A12">
        <v>10</v>
      </c>
      <c r="B12">
        <f>'Mod 5'!$C12</f>
        <v>0</v>
      </c>
      <c r="C12">
        <f>'Mod 6'!$C12</f>
        <v>0</v>
      </c>
      <c r="D12" t="str">
        <f>'Mod 7'!$C12</f>
        <v>2TC3</v>
      </c>
      <c r="E12" t="str">
        <f>'Mod 8'!$C12</f>
        <v>2BDP5T</v>
      </c>
      <c r="F12">
        <f>'Mod 9'!$C12</f>
        <v>0</v>
      </c>
      <c r="G12">
        <f>'Mod 10'!$C12</f>
        <v>0</v>
      </c>
      <c r="H12">
        <f>'Mod 11'!$C12</f>
        <v>0</v>
      </c>
      <c r="I12" t="str">
        <f>'Mod 12'!$C12</f>
        <v>2BDP5V</v>
      </c>
    </row>
    <row r="13" spans="1:9" x14ac:dyDescent="0.2">
      <c r="A13">
        <v>11</v>
      </c>
      <c r="B13">
        <f>'Mod 5'!$C13</f>
        <v>0</v>
      </c>
      <c r="C13">
        <f>'Mod 6'!$C13</f>
        <v>0</v>
      </c>
      <c r="D13" t="str">
        <f>'Mod 7'!$C13</f>
        <v>2TC4</v>
      </c>
      <c r="E13">
        <f>'Mod 8'!$C13</f>
        <v>0</v>
      </c>
      <c r="F13">
        <f>'Mod 9'!$C13</f>
        <v>0</v>
      </c>
      <c r="G13">
        <f>'Mod 10'!$C13</f>
        <v>0</v>
      </c>
      <c r="H13">
        <f>'Mod 11'!$C13</f>
        <v>0</v>
      </c>
      <c r="I13">
        <f>'Mod 12'!$C13</f>
        <v>0</v>
      </c>
    </row>
    <row r="14" spans="1:9" x14ac:dyDescent="0.2">
      <c r="A14">
        <v>12</v>
      </c>
      <c r="B14">
        <f>'Mod 5'!$C14</f>
        <v>0</v>
      </c>
      <c r="C14">
        <f>'Mod 6'!$C14</f>
        <v>0</v>
      </c>
      <c r="D14" t="str">
        <f>'Mod 7'!$C14</f>
        <v>2TC5</v>
      </c>
      <c r="E14" t="str">
        <f>'Mod 8'!$C14</f>
        <v>3BDP1T</v>
      </c>
      <c r="F14">
        <f>'Mod 9'!$C14</f>
        <v>0</v>
      </c>
      <c r="G14">
        <f>'Mod 10'!$C14</f>
        <v>0</v>
      </c>
      <c r="H14">
        <f>'Mod 11'!$C14</f>
        <v>0</v>
      </c>
      <c r="I14" t="str">
        <f>'Mod 12'!$C14</f>
        <v>3BDP1V</v>
      </c>
    </row>
    <row r="15" spans="1:9" x14ac:dyDescent="0.2">
      <c r="A15">
        <v>13</v>
      </c>
      <c r="B15">
        <f>'Mod 5'!$C15</f>
        <v>0</v>
      </c>
      <c r="C15">
        <f>'Mod 6'!$C15</f>
        <v>0</v>
      </c>
      <c r="D15" t="str">
        <f>'Mod 7'!$C15</f>
        <v>2TC6</v>
      </c>
      <c r="E15" t="str">
        <f>'Mod 8'!$C15</f>
        <v>3BDP2T</v>
      </c>
      <c r="F15">
        <f>'Mod 9'!$C15</f>
        <v>0</v>
      </c>
      <c r="G15">
        <f>'Mod 10'!$C15</f>
        <v>0</v>
      </c>
      <c r="H15">
        <f>'Mod 11'!$C15</f>
        <v>0</v>
      </c>
      <c r="I15" t="str">
        <f>'Mod 12'!$C15</f>
        <v>3BDP2V</v>
      </c>
    </row>
    <row r="16" spans="1:9" x14ac:dyDescent="0.2">
      <c r="A16">
        <v>14</v>
      </c>
      <c r="B16">
        <f>'Mod 5'!$C16</f>
        <v>0</v>
      </c>
      <c r="C16">
        <f>'Mod 6'!$C16</f>
        <v>0</v>
      </c>
      <c r="D16" t="str">
        <f>'Mod 7'!$C16</f>
        <v>2TC7</v>
      </c>
      <c r="E16" t="str">
        <f>'Mod 8'!$C16</f>
        <v>3BDP3T</v>
      </c>
      <c r="F16">
        <f>'Mod 9'!$C16</f>
        <v>0</v>
      </c>
      <c r="G16">
        <f>'Mod 10'!$C16</f>
        <v>0</v>
      </c>
      <c r="H16">
        <f>'Mod 11'!$C16</f>
        <v>0</v>
      </c>
      <c r="I16" t="str">
        <f>'Mod 12'!$C16</f>
        <v>3BDP3V</v>
      </c>
    </row>
    <row r="17" spans="1:9" x14ac:dyDescent="0.2">
      <c r="A17">
        <v>15</v>
      </c>
      <c r="B17">
        <f>'Mod 5'!$C17</f>
        <v>0</v>
      </c>
      <c r="C17">
        <f>'Mod 6'!$C17</f>
        <v>0</v>
      </c>
      <c r="D17">
        <f>'Mod 7'!$C17</f>
        <v>0</v>
      </c>
      <c r="E17" t="str">
        <f>'Mod 8'!$C17</f>
        <v>3BDP4T</v>
      </c>
      <c r="F17">
        <f>'Mod 9'!$C17</f>
        <v>0</v>
      </c>
      <c r="G17">
        <f>'Mod 10'!$C17</f>
        <v>0</v>
      </c>
      <c r="H17">
        <f>'Mod 11'!$C17</f>
        <v>0</v>
      </c>
      <c r="I17" t="str">
        <f>'Mod 12'!$C17</f>
        <v>3BDP4V</v>
      </c>
    </row>
    <row r="18" spans="1:9" x14ac:dyDescent="0.2">
      <c r="A18">
        <v>16</v>
      </c>
      <c r="B18">
        <f>'Mod 5'!$C18</f>
        <v>0</v>
      </c>
      <c r="C18">
        <f>'Mod 6'!$C18</f>
        <v>0</v>
      </c>
      <c r="D18" t="str">
        <f>'Mod 7'!$C18</f>
        <v>3TC1</v>
      </c>
      <c r="E18" t="str">
        <f>'Mod 8'!$C18</f>
        <v>3BDP5T</v>
      </c>
      <c r="F18">
        <f>'Mod 9'!$C18</f>
        <v>0</v>
      </c>
      <c r="G18">
        <f>'Mod 10'!$C18</f>
        <v>0</v>
      </c>
      <c r="H18">
        <f>'Mod 11'!$C18</f>
        <v>0</v>
      </c>
      <c r="I18" t="str">
        <f>'Mod 12'!$C18</f>
        <v>3BDP5V</v>
      </c>
    </row>
    <row r="19" spans="1:9" x14ac:dyDescent="0.2">
      <c r="A19">
        <v>17</v>
      </c>
      <c r="B19">
        <f>'Mod 5'!$C19</f>
        <v>0</v>
      </c>
      <c r="C19">
        <f>'Mod 6'!$C19</f>
        <v>0</v>
      </c>
      <c r="D19" t="str">
        <f>'Mod 7'!$C19</f>
        <v>3TC2</v>
      </c>
      <c r="E19">
        <f>'Mod 8'!$C19</f>
        <v>0</v>
      </c>
      <c r="F19">
        <f>'Mod 9'!$C19</f>
        <v>0</v>
      </c>
      <c r="G19">
        <f>'Mod 10'!$C19</f>
        <v>0</v>
      </c>
      <c r="H19">
        <f>'Mod 11'!$C19</f>
        <v>0</v>
      </c>
      <c r="I19">
        <f>'Mod 12'!$C19</f>
        <v>0</v>
      </c>
    </row>
    <row r="20" spans="1:9" x14ac:dyDescent="0.2">
      <c r="A20">
        <v>18</v>
      </c>
      <c r="B20">
        <f>'Mod 5'!$C20</f>
        <v>0</v>
      </c>
      <c r="C20">
        <f>'Mod 6'!$C20</f>
        <v>0</v>
      </c>
      <c r="D20" t="str">
        <f>'Mod 7'!$C20</f>
        <v>3TC3</v>
      </c>
      <c r="E20" t="str">
        <f>'Mod 8'!$C20</f>
        <v>4BDP1T</v>
      </c>
      <c r="F20">
        <f>'Mod 9'!$C20</f>
        <v>0</v>
      </c>
      <c r="G20">
        <f>'Mod 10'!$C20</f>
        <v>0</v>
      </c>
      <c r="H20">
        <f>'Mod 11'!$C20</f>
        <v>0</v>
      </c>
      <c r="I20" t="str">
        <f>'Mod 12'!$C20</f>
        <v>4BDP1V</v>
      </c>
    </row>
    <row r="21" spans="1:9" x14ac:dyDescent="0.2">
      <c r="A21">
        <v>19</v>
      </c>
      <c r="B21">
        <f>'Mod 5'!$C21</f>
        <v>0</v>
      </c>
      <c r="C21">
        <f>'Mod 6'!$C21</f>
        <v>0</v>
      </c>
      <c r="D21" t="str">
        <f>'Mod 7'!$C21</f>
        <v>3TC4</v>
      </c>
      <c r="E21" t="str">
        <f>'Mod 8'!$C21</f>
        <v>4BDP2T</v>
      </c>
      <c r="F21">
        <f>'Mod 9'!$C21</f>
        <v>0</v>
      </c>
      <c r="G21">
        <f>'Mod 10'!$C21</f>
        <v>0</v>
      </c>
      <c r="H21">
        <f>'Mod 11'!$C21</f>
        <v>0</v>
      </c>
      <c r="I21" t="str">
        <f>'Mod 12'!$C21</f>
        <v>4BDP2V</v>
      </c>
    </row>
    <row r="22" spans="1:9" x14ac:dyDescent="0.2">
      <c r="A22">
        <v>20</v>
      </c>
      <c r="B22">
        <f>'Mod 5'!$C22</f>
        <v>0</v>
      </c>
      <c r="C22">
        <f>'Mod 6'!$C22</f>
        <v>0</v>
      </c>
      <c r="D22" t="str">
        <f>'Mod 7'!$C22</f>
        <v>3TC5</v>
      </c>
      <c r="E22" t="str">
        <f>'Mod 8'!$C22</f>
        <v>4BDP3T</v>
      </c>
      <c r="F22">
        <f>'Mod 9'!$C22</f>
        <v>0</v>
      </c>
      <c r="G22">
        <f>'Mod 10'!$C22</f>
        <v>0</v>
      </c>
      <c r="H22">
        <f>'Mod 11'!$C22</f>
        <v>0</v>
      </c>
      <c r="I22" t="str">
        <f>'Mod 12'!$C22</f>
        <v>4BDP3V</v>
      </c>
    </row>
    <row r="23" spans="1:9" x14ac:dyDescent="0.2">
      <c r="A23">
        <v>21</v>
      </c>
      <c r="B23">
        <f>'Mod 5'!$C23</f>
        <v>0</v>
      </c>
      <c r="C23">
        <f>'Mod 6'!$C23</f>
        <v>0</v>
      </c>
      <c r="D23" t="str">
        <f>'Mod 7'!$C23</f>
        <v>3TC6</v>
      </c>
      <c r="E23" t="str">
        <f>'Mod 8'!$C23</f>
        <v>4BDP4T</v>
      </c>
      <c r="F23">
        <f>'Mod 9'!$C23</f>
        <v>0</v>
      </c>
      <c r="G23">
        <f>'Mod 10'!$C23</f>
        <v>0</v>
      </c>
      <c r="H23">
        <f>'Mod 11'!$C23</f>
        <v>0</v>
      </c>
      <c r="I23" t="str">
        <f>'Mod 12'!$C23</f>
        <v>4BDP4V</v>
      </c>
    </row>
    <row r="24" spans="1:9" x14ac:dyDescent="0.2">
      <c r="A24">
        <v>22</v>
      </c>
      <c r="B24">
        <f>'Mod 5'!$C24</f>
        <v>0</v>
      </c>
      <c r="C24">
        <f>'Mod 6'!$C24</f>
        <v>0</v>
      </c>
      <c r="D24" t="str">
        <f>'Mod 7'!$C24</f>
        <v>3TC7</v>
      </c>
      <c r="E24" t="str">
        <f>'Mod 8'!$C24</f>
        <v>4BDP5T</v>
      </c>
      <c r="F24">
        <f>'Mod 9'!$C24</f>
        <v>0</v>
      </c>
      <c r="G24">
        <f>'Mod 10'!$C24</f>
        <v>0</v>
      </c>
      <c r="H24">
        <f>'Mod 11'!$C24</f>
        <v>0</v>
      </c>
      <c r="I24" t="str">
        <f>'Mod 12'!$C24</f>
        <v>4BDP5V</v>
      </c>
    </row>
    <row r="25" spans="1:9" x14ac:dyDescent="0.2">
      <c r="A25">
        <v>23</v>
      </c>
      <c r="B25">
        <f>'Mod 5'!$C25</f>
        <v>0</v>
      </c>
      <c r="C25">
        <f>'Mod 6'!$C25</f>
        <v>0</v>
      </c>
      <c r="D25">
        <f>'Mod 7'!$C25</f>
        <v>0</v>
      </c>
      <c r="E25">
        <f>'Mod 8'!$C25</f>
        <v>0</v>
      </c>
      <c r="F25">
        <f>'Mod 9'!$C25</f>
        <v>0</v>
      </c>
      <c r="G25">
        <f>'Mod 10'!$C25</f>
        <v>0</v>
      </c>
      <c r="H25">
        <f>'Mod 11'!$C25</f>
        <v>0</v>
      </c>
      <c r="I25">
        <f>'Mod 12'!$C25</f>
        <v>0</v>
      </c>
    </row>
    <row r="26" spans="1:9" x14ac:dyDescent="0.2">
      <c r="A26">
        <v>24</v>
      </c>
      <c r="B26">
        <f>'Mod 5'!$C26</f>
        <v>0</v>
      </c>
      <c r="C26">
        <f>'Mod 6'!$C26</f>
        <v>0</v>
      </c>
      <c r="D26" t="str">
        <f>'Mod 7'!$C26</f>
        <v>4TC1</v>
      </c>
      <c r="E26">
        <f>'Mod 8'!$C26</f>
        <v>0</v>
      </c>
      <c r="F26">
        <f>'Mod 9'!$C26</f>
        <v>0</v>
      </c>
      <c r="G26">
        <f>'Mod 10'!$C26</f>
        <v>0</v>
      </c>
      <c r="H26">
        <f>'Mod 11'!$C26</f>
        <v>0</v>
      </c>
      <c r="I26" t="str">
        <f>'Mod 12'!$C26</f>
        <v>1PT1</v>
      </c>
    </row>
    <row r="27" spans="1:9" x14ac:dyDescent="0.2">
      <c r="A27">
        <v>25</v>
      </c>
      <c r="B27">
        <f>'Mod 5'!$C27</f>
        <v>0</v>
      </c>
      <c r="C27">
        <f>'Mod 6'!$C27</f>
        <v>0</v>
      </c>
      <c r="D27" t="str">
        <f>'Mod 7'!$C27</f>
        <v>4TC2</v>
      </c>
      <c r="E27">
        <f>'Mod 8'!$C27</f>
        <v>0</v>
      </c>
      <c r="F27">
        <f>'Mod 9'!$C27</f>
        <v>0</v>
      </c>
      <c r="G27">
        <f>'Mod 10'!$C27</f>
        <v>0</v>
      </c>
      <c r="H27">
        <f>'Mod 11'!$C27</f>
        <v>0</v>
      </c>
      <c r="I27" t="str">
        <f>'Mod 12'!$C27</f>
        <v>1PT4</v>
      </c>
    </row>
    <row r="28" spans="1:9" x14ac:dyDescent="0.2">
      <c r="A28">
        <v>26</v>
      </c>
      <c r="B28">
        <f>'Mod 5'!$C28</f>
        <v>0</v>
      </c>
      <c r="C28">
        <f>'Mod 6'!$C28</f>
        <v>0</v>
      </c>
      <c r="D28" t="str">
        <f>'Mod 7'!$C28</f>
        <v>4TC3</v>
      </c>
      <c r="E28">
        <f>'Mod 8'!$C28</f>
        <v>0</v>
      </c>
      <c r="F28">
        <f>'Mod 9'!$C28</f>
        <v>0</v>
      </c>
      <c r="G28">
        <f>'Mod 10'!$C28</f>
        <v>0</v>
      </c>
      <c r="H28">
        <f>'Mod 11'!$C28</f>
        <v>0</v>
      </c>
      <c r="I28" t="str">
        <f>'Mod 12'!$C28</f>
        <v>1PT7</v>
      </c>
    </row>
    <row r="29" spans="1:9" x14ac:dyDescent="0.2">
      <c r="A29">
        <v>27</v>
      </c>
      <c r="B29">
        <f>'Mod 5'!$C29</f>
        <v>0</v>
      </c>
      <c r="C29">
        <f>'Mod 6'!$C29</f>
        <v>0</v>
      </c>
      <c r="D29" t="str">
        <f>'Mod 7'!$C29</f>
        <v>4TC4</v>
      </c>
      <c r="E29">
        <f>'Mod 8'!$C29</f>
        <v>0</v>
      </c>
      <c r="F29">
        <f>'Mod 9'!$C29</f>
        <v>0</v>
      </c>
      <c r="G29">
        <f>'Mod 10'!$C29</f>
        <v>0</v>
      </c>
      <c r="H29">
        <f>'Mod 11'!$C29</f>
        <v>0</v>
      </c>
      <c r="I29">
        <f>'Mod 12'!$C29</f>
        <v>0</v>
      </c>
    </row>
    <row r="30" spans="1:9" x14ac:dyDescent="0.2">
      <c r="A30">
        <v>28</v>
      </c>
      <c r="B30">
        <f>'Mod 5'!$C30</f>
        <v>0</v>
      </c>
      <c r="C30">
        <f>'Mod 6'!$C30</f>
        <v>0</v>
      </c>
      <c r="D30" t="str">
        <f>'Mod 7'!$C30</f>
        <v>4TC5</v>
      </c>
      <c r="E30">
        <f>'Mod 8'!$C30</f>
        <v>0</v>
      </c>
      <c r="F30">
        <f>'Mod 9'!$C30</f>
        <v>0</v>
      </c>
      <c r="G30">
        <f>'Mod 10'!$C30</f>
        <v>0</v>
      </c>
      <c r="H30">
        <f>'Mod 11'!$C30</f>
        <v>0</v>
      </c>
      <c r="I30" t="str">
        <f>'Mod 12'!$C30</f>
        <v>2PT1</v>
      </c>
    </row>
    <row r="31" spans="1:9" x14ac:dyDescent="0.2">
      <c r="A31">
        <v>29</v>
      </c>
      <c r="B31">
        <f>'Mod 5'!$C31</f>
        <v>0</v>
      </c>
      <c r="C31">
        <f>'Mod 6'!$C31</f>
        <v>0</v>
      </c>
      <c r="D31" t="str">
        <f>'Mod 7'!$C31</f>
        <v>4TC6</v>
      </c>
      <c r="E31">
        <f>'Mod 8'!$C31</f>
        <v>0</v>
      </c>
      <c r="F31">
        <f>'Mod 9'!$C31</f>
        <v>0</v>
      </c>
      <c r="G31">
        <f>'Mod 10'!$C31</f>
        <v>0</v>
      </c>
      <c r="H31">
        <f>'Mod 11'!$C31</f>
        <v>0</v>
      </c>
      <c r="I31" t="str">
        <f>'Mod 12'!$C31</f>
        <v>2PT4</v>
      </c>
    </row>
    <row r="32" spans="1:9" x14ac:dyDescent="0.2">
      <c r="A32">
        <v>30</v>
      </c>
      <c r="B32">
        <f>'Mod 5'!$C32</f>
        <v>0</v>
      </c>
      <c r="C32">
        <f>'Mod 6'!$C32</f>
        <v>0</v>
      </c>
      <c r="D32" t="str">
        <f>'Mod 7'!$C32</f>
        <v>4TC7</v>
      </c>
      <c r="E32">
        <f>'Mod 8'!$C32</f>
        <v>0</v>
      </c>
      <c r="F32">
        <f>'Mod 9'!$C32</f>
        <v>0</v>
      </c>
      <c r="G32">
        <f>'Mod 10'!$C32</f>
        <v>0</v>
      </c>
      <c r="H32">
        <f>'Mod 11'!$C32</f>
        <v>0</v>
      </c>
      <c r="I32" t="str">
        <f>'Mod 12'!$C32</f>
        <v>2PT7</v>
      </c>
    </row>
    <row r="33" spans="1:9" x14ac:dyDescent="0.2">
      <c r="A33">
        <v>31</v>
      </c>
      <c r="B33">
        <f>'Mod 5'!$C33</f>
        <v>0</v>
      </c>
      <c r="C33">
        <f>'Mod 6'!$C33</f>
        <v>0</v>
      </c>
      <c r="D33">
        <f>'Mod 7'!$C33</f>
        <v>0</v>
      </c>
      <c r="E33">
        <f>'Mod 8'!$C33</f>
        <v>0</v>
      </c>
      <c r="F33">
        <f>'Mod 9'!$C33</f>
        <v>0</v>
      </c>
      <c r="G33">
        <f>'Mod 10'!$C33</f>
        <v>0</v>
      </c>
      <c r="H33">
        <f>'Mod 11'!$C33</f>
        <v>0</v>
      </c>
      <c r="I33">
        <f>'Mod 12'!$C33</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4"/>
  <sheetViews>
    <sheetView topLeftCell="A34" workbookViewId="0">
      <selection activeCell="D76" sqref="D76"/>
    </sheetView>
  </sheetViews>
  <sheetFormatPr baseColWidth="10" defaultRowHeight="15" x14ac:dyDescent="0.2"/>
  <sheetData>
    <row r="1" spans="1:1" x14ac:dyDescent="0.2">
      <c r="A1" t="s">
        <v>76</v>
      </c>
    </row>
    <row r="2" spans="1:1" x14ac:dyDescent="0.2">
      <c r="A2" t="s">
        <v>165</v>
      </c>
    </row>
    <row r="3" spans="1:1" x14ac:dyDescent="0.2">
      <c r="A3" t="s">
        <v>77</v>
      </c>
    </row>
    <row r="4" spans="1:1" x14ac:dyDescent="0.2">
      <c r="A4" t="s">
        <v>166</v>
      </c>
    </row>
    <row r="5" spans="1:1" x14ac:dyDescent="0.2">
      <c r="A5" t="s">
        <v>78</v>
      </c>
    </row>
    <row r="6" spans="1:1" x14ac:dyDescent="0.2">
      <c r="A6" t="s">
        <v>167</v>
      </c>
    </row>
    <row r="7" spans="1:1" x14ac:dyDescent="0.2">
      <c r="A7" t="s">
        <v>79</v>
      </c>
    </row>
    <row r="8" spans="1:1" x14ac:dyDescent="0.2">
      <c r="A8" t="s">
        <v>80</v>
      </c>
    </row>
    <row r="9" spans="1:1" x14ac:dyDescent="0.2">
      <c r="A9" t="s">
        <v>168</v>
      </c>
    </row>
    <row r="10" spans="1:1" x14ac:dyDescent="0.2">
      <c r="A10" t="s">
        <v>81</v>
      </c>
    </row>
    <row r="11" spans="1:1" x14ac:dyDescent="0.2">
      <c r="A11" t="s">
        <v>169</v>
      </c>
    </row>
    <row r="12" spans="1:1" x14ac:dyDescent="0.2">
      <c r="A12" t="s">
        <v>82</v>
      </c>
    </row>
    <row r="13" spans="1:1" x14ac:dyDescent="0.2">
      <c r="A13" t="s">
        <v>170</v>
      </c>
    </row>
    <row r="14" spans="1:1" x14ac:dyDescent="0.2">
      <c r="A14" t="s">
        <v>83</v>
      </c>
    </row>
    <row r="15" spans="1:1" x14ac:dyDescent="0.2">
      <c r="A15" t="s">
        <v>84</v>
      </c>
    </row>
    <row r="16" spans="1:1" x14ac:dyDescent="0.2">
      <c r="A16" t="s">
        <v>138</v>
      </c>
    </row>
    <row r="17" spans="1:1" x14ac:dyDescent="0.2">
      <c r="A17" t="s">
        <v>85</v>
      </c>
    </row>
    <row r="18" spans="1:1" x14ac:dyDescent="0.2">
      <c r="A18" t="s">
        <v>139</v>
      </c>
    </row>
    <row r="19" spans="1:1" x14ac:dyDescent="0.2">
      <c r="A19" t="s">
        <v>86</v>
      </c>
    </row>
    <row r="20" spans="1:1" x14ac:dyDescent="0.2">
      <c r="A20" t="s">
        <v>140</v>
      </c>
    </row>
    <row r="21" spans="1:1" x14ac:dyDescent="0.2">
      <c r="A21" t="s">
        <v>87</v>
      </c>
    </row>
    <row r="22" spans="1:1" x14ac:dyDescent="0.2">
      <c r="A22" t="s">
        <v>88</v>
      </c>
    </row>
    <row r="23" spans="1:1" x14ac:dyDescent="0.2">
      <c r="A23" t="s">
        <v>141</v>
      </c>
    </row>
    <row r="24" spans="1:1" x14ac:dyDescent="0.2">
      <c r="A24" t="s">
        <v>89</v>
      </c>
    </row>
    <row r="25" spans="1:1" x14ac:dyDescent="0.2">
      <c r="A25" t="s">
        <v>142</v>
      </c>
    </row>
    <row r="26" spans="1:1" x14ac:dyDescent="0.2">
      <c r="A26" t="s">
        <v>90</v>
      </c>
    </row>
    <row r="27" spans="1:1" x14ac:dyDescent="0.2">
      <c r="A27" t="s">
        <v>143</v>
      </c>
    </row>
    <row r="28" spans="1:1" x14ac:dyDescent="0.2">
      <c r="A28" t="s">
        <v>91</v>
      </c>
    </row>
    <row r="29" spans="1:1" x14ac:dyDescent="0.2">
      <c r="A29" t="s">
        <v>92</v>
      </c>
    </row>
    <row r="30" spans="1:1" x14ac:dyDescent="0.2">
      <c r="A30" t="s">
        <v>93</v>
      </c>
    </row>
    <row r="31" spans="1:1" x14ac:dyDescent="0.2">
      <c r="A31" t="s">
        <v>94</v>
      </c>
    </row>
    <row r="32" spans="1:1" x14ac:dyDescent="0.2">
      <c r="A32" t="s">
        <v>95</v>
      </c>
    </row>
    <row r="33" spans="1:1" x14ac:dyDescent="0.2">
      <c r="A33" t="s">
        <v>96</v>
      </c>
    </row>
    <row r="34" spans="1:1" x14ac:dyDescent="0.2">
      <c r="A34" t="s">
        <v>97</v>
      </c>
    </row>
    <row r="35" spans="1:1" x14ac:dyDescent="0.2">
      <c r="A35" t="s">
        <v>98</v>
      </c>
    </row>
    <row r="36" spans="1:1" x14ac:dyDescent="0.2">
      <c r="A36" t="s">
        <v>99</v>
      </c>
    </row>
    <row r="37" spans="1:1" x14ac:dyDescent="0.2">
      <c r="A37" t="s">
        <v>100</v>
      </c>
    </row>
    <row r="38" spans="1:1" x14ac:dyDescent="0.2">
      <c r="A38" t="s">
        <v>101</v>
      </c>
    </row>
    <row r="39" spans="1:1" x14ac:dyDescent="0.2">
      <c r="A39" t="s">
        <v>102</v>
      </c>
    </row>
    <row r="40" spans="1:1" x14ac:dyDescent="0.2">
      <c r="A40" t="s">
        <v>103</v>
      </c>
    </row>
    <row r="41" spans="1:1" x14ac:dyDescent="0.2">
      <c r="A41" t="s">
        <v>104</v>
      </c>
    </row>
    <row r="42" spans="1:1" x14ac:dyDescent="0.2">
      <c r="A42" t="s">
        <v>105</v>
      </c>
    </row>
    <row r="43" spans="1:1" x14ac:dyDescent="0.2">
      <c r="A43" t="s">
        <v>106</v>
      </c>
    </row>
    <row r="44" spans="1:1" x14ac:dyDescent="0.2">
      <c r="A44" t="s">
        <v>107</v>
      </c>
    </row>
    <row r="45" spans="1:1" x14ac:dyDescent="0.2">
      <c r="A45" t="s">
        <v>108</v>
      </c>
    </row>
    <row r="46" spans="1:1" x14ac:dyDescent="0.2">
      <c r="A46" t="s">
        <v>109</v>
      </c>
    </row>
    <row r="47" spans="1:1" x14ac:dyDescent="0.2">
      <c r="A47" t="s">
        <v>110</v>
      </c>
    </row>
    <row r="48" spans="1:1" x14ac:dyDescent="0.2">
      <c r="A48" t="s">
        <v>111</v>
      </c>
    </row>
    <row r="49" spans="1:1" x14ac:dyDescent="0.2">
      <c r="A49" t="s">
        <v>144</v>
      </c>
    </row>
    <row r="50" spans="1:1" x14ac:dyDescent="0.2">
      <c r="A50" t="s">
        <v>145</v>
      </c>
    </row>
    <row r="51" spans="1:1" x14ac:dyDescent="0.2">
      <c r="A51" t="s">
        <v>146</v>
      </c>
    </row>
    <row r="52" spans="1:1" x14ac:dyDescent="0.2">
      <c r="A52" t="s">
        <v>147</v>
      </c>
    </row>
    <row r="53" spans="1:1" x14ac:dyDescent="0.2">
      <c r="A53" t="s">
        <v>148</v>
      </c>
    </row>
    <row r="54" spans="1:1" x14ac:dyDescent="0.2">
      <c r="A54" t="s">
        <v>112</v>
      </c>
    </row>
    <row r="55" spans="1:1" x14ac:dyDescent="0.2">
      <c r="A55" t="s">
        <v>113</v>
      </c>
    </row>
    <row r="56" spans="1:1" x14ac:dyDescent="0.2">
      <c r="A56" t="s">
        <v>114</v>
      </c>
    </row>
    <row r="57" spans="1:1" x14ac:dyDescent="0.2">
      <c r="A57" t="s">
        <v>115</v>
      </c>
    </row>
    <row r="58" spans="1:1" x14ac:dyDescent="0.2">
      <c r="A58" t="s">
        <v>116</v>
      </c>
    </row>
    <row r="59" spans="1:1" x14ac:dyDescent="0.2">
      <c r="A59" t="s">
        <v>117</v>
      </c>
    </row>
    <row r="60" spans="1:1" x14ac:dyDescent="0.2">
      <c r="A60" t="s">
        <v>118</v>
      </c>
    </row>
    <row r="61" spans="1:1" x14ac:dyDescent="0.2">
      <c r="A61" t="s">
        <v>119</v>
      </c>
    </row>
    <row r="62" spans="1:1" x14ac:dyDescent="0.2">
      <c r="A62" t="s">
        <v>120</v>
      </c>
    </row>
    <row r="63" spans="1:1" x14ac:dyDescent="0.2">
      <c r="A63" t="s">
        <v>121</v>
      </c>
    </row>
    <row r="64" spans="1:1" x14ac:dyDescent="0.2">
      <c r="A64" t="s">
        <v>122</v>
      </c>
    </row>
    <row r="65" spans="1:1" x14ac:dyDescent="0.2">
      <c r="A65" t="s">
        <v>123</v>
      </c>
    </row>
    <row r="66" spans="1:1" x14ac:dyDescent="0.2">
      <c r="A66" t="s">
        <v>124</v>
      </c>
    </row>
    <row r="67" spans="1:1" x14ac:dyDescent="0.2">
      <c r="A67" t="s">
        <v>125</v>
      </c>
    </row>
    <row r="68" spans="1:1" x14ac:dyDescent="0.2">
      <c r="A68" t="s">
        <v>126</v>
      </c>
    </row>
    <row r="69" spans="1:1" x14ac:dyDescent="0.2">
      <c r="A69" t="s">
        <v>157</v>
      </c>
    </row>
    <row r="70" spans="1:1" x14ac:dyDescent="0.2">
      <c r="A70" t="s">
        <v>171</v>
      </c>
    </row>
    <row r="71" spans="1:1" x14ac:dyDescent="0.2">
      <c r="A71" t="s">
        <v>158</v>
      </c>
    </row>
    <row r="72" spans="1:1" x14ac:dyDescent="0.2">
      <c r="A72" t="s">
        <v>172</v>
      </c>
    </row>
    <row r="73" spans="1:1" x14ac:dyDescent="0.2">
      <c r="A73" t="s">
        <v>173</v>
      </c>
    </row>
    <row r="74" spans="1:1" x14ac:dyDescent="0.2">
      <c r="A74" t="s">
        <v>174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D33"/>
  <sheetViews>
    <sheetView workbookViewId="0">
      <selection activeCell="H12" sqref="H12"/>
    </sheetView>
  </sheetViews>
  <sheetFormatPr baseColWidth="10" defaultColWidth="8.83203125" defaultRowHeight="15" x14ac:dyDescent="0.2"/>
  <cols>
    <col min="2" max="2" width="16.1640625" bestFit="1" customWidth="1"/>
    <col min="3" max="4" width="16.33203125" customWidth="1"/>
  </cols>
  <sheetData>
    <row r="1" spans="1:4" x14ac:dyDescent="0.2">
      <c r="A1" s="8" t="s">
        <v>1</v>
      </c>
      <c r="B1" s="8" t="s">
        <v>2</v>
      </c>
      <c r="C1" s="8" t="s">
        <v>0</v>
      </c>
      <c r="D1" s="8" t="s">
        <v>14</v>
      </c>
    </row>
    <row r="2" spans="1:4" x14ac:dyDescent="0.2">
      <c r="A2" s="9" t="s">
        <v>23</v>
      </c>
      <c r="B2" s="9" t="s">
        <v>28</v>
      </c>
      <c r="C2" s="8"/>
      <c r="D2" s="8" t="s">
        <v>15</v>
      </c>
    </row>
    <row r="3" spans="1:4" x14ac:dyDescent="0.2">
      <c r="A3" s="9" t="s">
        <v>23</v>
      </c>
      <c r="B3" s="9" t="s">
        <v>29</v>
      </c>
      <c r="C3" s="8"/>
      <c r="D3" s="8" t="s">
        <v>15</v>
      </c>
    </row>
    <row r="4" spans="1:4" x14ac:dyDescent="0.2">
      <c r="A4" s="9" t="s">
        <v>23</v>
      </c>
      <c r="B4" s="9" t="s">
        <v>30</v>
      </c>
      <c r="C4" s="8"/>
      <c r="D4" s="8" t="s">
        <v>15</v>
      </c>
    </row>
    <row r="5" spans="1:4" x14ac:dyDescent="0.2">
      <c r="A5" s="9" t="s">
        <v>23</v>
      </c>
      <c r="B5" s="9" t="s">
        <v>31</v>
      </c>
      <c r="C5" s="8"/>
      <c r="D5" s="8" t="s">
        <v>15</v>
      </c>
    </row>
    <row r="6" spans="1:4" x14ac:dyDescent="0.2">
      <c r="A6" s="9" t="s">
        <v>23</v>
      </c>
      <c r="B6" s="9" t="s">
        <v>32</v>
      </c>
      <c r="C6" s="8"/>
      <c r="D6" s="8" t="s">
        <v>15</v>
      </c>
    </row>
    <row r="7" spans="1:4" x14ac:dyDescent="0.2">
      <c r="A7" s="9" t="s">
        <v>23</v>
      </c>
      <c r="B7" s="9" t="s">
        <v>23</v>
      </c>
      <c r="C7" s="8"/>
      <c r="D7" s="8" t="s">
        <v>15</v>
      </c>
    </row>
    <row r="8" spans="1:4" x14ac:dyDescent="0.2">
      <c r="A8" s="9" t="s">
        <v>23</v>
      </c>
      <c r="B8" s="9" t="s">
        <v>24</v>
      </c>
      <c r="C8" s="8"/>
      <c r="D8" s="8" t="s">
        <v>15</v>
      </c>
    </row>
    <row r="9" spans="1:4" x14ac:dyDescent="0.2">
      <c r="A9" s="9" t="s">
        <v>23</v>
      </c>
      <c r="B9" s="9" t="s">
        <v>25</v>
      </c>
      <c r="C9" s="8"/>
      <c r="D9" s="8" t="s">
        <v>15</v>
      </c>
    </row>
    <row r="10" spans="1:4" x14ac:dyDescent="0.2">
      <c r="A10" s="9" t="s">
        <v>23</v>
      </c>
      <c r="B10" s="9" t="s">
        <v>26</v>
      </c>
      <c r="C10" s="8"/>
      <c r="D10" s="8" t="s">
        <v>15</v>
      </c>
    </row>
    <row r="11" spans="1:4" x14ac:dyDescent="0.2">
      <c r="A11" s="9" t="s">
        <v>23</v>
      </c>
      <c r="B11" s="9" t="s">
        <v>27</v>
      </c>
      <c r="C11" s="8"/>
      <c r="D11" s="8" t="s">
        <v>15</v>
      </c>
    </row>
    <row r="12" spans="1:4" x14ac:dyDescent="0.2">
      <c r="A12" s="9" t="s">
        <v>23</v>
      </c>
      <c r="B12" s="9">
        <v>10</v>
      </c>
      <c r="C12" s="8"/>
      <c r="D12" s="8" t="s">
        <v>15</v>
      </c>
    </row>
    <row r="13" spans="1:4" x14ac:dyDescent="0.2">
      <c r="A13" s="9" t="s">
        <v>23</v>
      </c>
      <c r="B13" s="9">
        <v>11</v>
      </c>
      <c r="C13" s="8"/>
      <c r="D13" s="8" t="s">
        <v>15</v>
      </c>
    </row>
    <row r="14" spans="1:4" x14ac:dyDescent="0.2">
      <c r="A14" s="9" t="s">
        <v>23</v>
      </c>
      <c r="B14" s="9">
        <v>12</v>
      </c>
      <c r="C14" s="8"/>
      <c r="D14" s="8" t="s">
        <v>15</v>
      </c>
    </row>
    <row r="15" spans="1:4" x14ac:dyDescent="0.2">
      <c r="A15" s="9" t="s">
        <v>23</v>
      </c>
      <c r="B15" s="9">
        <v>13</v>
      </c>
      <c r="C15" s="8"/>
      <c r="D15" s="8" t="s">
        <v>15</v>
      </c>
    </row>
    <row r="16" spans="1:4" x14ac:dyDescent="0.2">
      <c r="A16" s="9" t="s">
        <v>23</v>
      </c>
      <c r="B16" s="9">
        <v>14</v>
      </c>
      <c r="C16" s="8"/>
      <c r="D16" s="8" t="s">
        <v>15</v>
      </c>
    </row>
    <row r="17" spans="1:4" x14ac:dyDescent="0.2">
      <c r="A17" s="9" t="s">
        <v>23</v>
      </c>
      <c r="B17" s="9">
        <v>15</v>
      </c>
      <c r="C17" s="8"/>
      <c r="D17" s="8" t="s">
        <v>15</v>
      </c>
    </row>
    <row r="18" spans="1:4" x14ac:dyDescent="0.2">
      <c r="A18" s="9" t="s">
        <v>23</v>
      </c>
      <c r="B18" s="9">
        <v>16</v>
      </c>
      <c r="C18" s="8"/>
      <c r="D18" s="8" t="s">
        <v>15</v>
      </c>
    </row>
    <row r="19" spans="1:4" x14ac:dyDescent="0.2">
      <c r="A19" s="9" t="s">
        <v>23</v>
      </c>
      <c r="B19" s="9">
        <v>17</v>
      </c>
      <c r="C19" s="8"/>
      <c r="D19" s="8" t="s">
        <v>15</v>
      </c>
    </row>
    <row r="20" spans="1:4" x14ac:dyDescent="0.2">
      <c r="A20" s="9" t="s">
        <v>23</v>
      </c>
      <c r="B20" s="9">
        <v>18</v>
      </c>
      <c r="C20" s="8"/>
      <c r="D20" s="8" t="s">
        <v>15</v>
      </c>
    </row>
    <row r="21" spans="1:4" x14ac:dyDescent="0.2">
      <c r="A21" s="9" t="s">
        <v>23</v>
      </c>
      <c r="B21" s="9">
        <v>19</v>
      </c>
      <c r="C21" s="8"/>
      <c r="D21" s="8" t="s">
        <v>15</v>
      </c>
    </row>
    <row r="22" spans="1:4" x14ac:dyDescent="0.2">
      <c r="A22" s="9" t="s">
        <v>23</v>
      </c>
      <c r="B22" s="9">
        <v>20</v>
      </c>
      <c r="C22" s="8"/>
      <c r="D22" s="8" t="s">
        <v>15</v>
      </c>
    </row>
    <row r="23" spans="1:4" x14ac:dyDescent="0.2">
      <c r="A23" s="9" t="s">
        <v>23</v>
      </c>
      <c r="B23" s="9">
        <v>21</v>
      </c>
      <c r="C23" s="8"/>
      <c r="D23" s="8" t="s">
        <v>15</v>
      </c>
    </row>
    <row r="24" spans="1:4" x14ac:dyDescent="0.2">
      <c r="A24" s="9" t="s">
        <v>23</v>
      </c>
      <c r="B24" s="9">
        <v>22</v>
      </c>
      <c r="C24" s="8"/>
      <c r="D24" s="8" t="s">
        <v>15</v>
      </c>
    </row>
    <row r="25" spans="1:4" x14ac:dyDescent="0.2">
      <c r="A25" s="9" t="s">
        <v>23</v>
      </c>
      <c r="B25" s="9">
        <v>23</v>
      </c>
      <c r="C25" s="8"/>
      <c r="D25" s="8" t="s">
        <v>15</v>
      </c>
    </row>
    <row r="26" spans="1:4" x14ac:dyDescent="0.2">
      <c r="A26" s="9" t="s">
        <v>23</v>
      </c>
      <c r="B26" s="9">
        <v>24</v>
      </c>
      <c r="C26" s="8"/>
      <c r="D26" s="8" t="s">
        <v>15</v>
      </c>
    </row>
    <row r="27" spans="1:4" x14ac:dyDescent="0.2">
      <c r="A27" s="9" t="s">
        <v>23</v>
      </c>
      <c r="B27" s="9">
        <v>25</v>
      </c>
      <c r="C27" s="8"/>
      <c r="D27" s="8" t="s">
        <v>15</v>
      </c>
    </row>
    <row r="28" spans="1:4" x14ac:dyDescent="0.2">
      <c r="A28" s="9" t="s">
        <v>23</v>
      </c>
      <c r="B28" s="9">
        <v>26</v>
      </c>
      <c r="C28" s="8"/>
      <c r="D28" s="8" t="s">
        <v>15</v>
      </c>
    </row>
    <row r="29" spans="1:4" x14ac:dyDescent="0.2">
      <c r="A29" s="9" t="s">
        <v>23</v>
      </c>
      <c r="B29" s="9">
        <v>27</v>
      </c>
      <c r="C29" s="8"/>
      <c r="D29" s="8" t="s">
        <v>15</v>
      </c>
    </row>
    <row r="30" spans="1:4" x14ac:dyDescent="0.2">
      <c r="A30" s="9" t="s">
        <v>23</v>
      </c>
      <c r="B30" s="9">
        <v>28</v>
      </c>
      <c r="C30" s="8"/>
      <c r="D30" s="8" t="s">
        <v>15</v>
      </c>
    </row>
    <row r="31" spans="1:4" x14ac:dyDescent="0.2">
      <c r="A31" s="9" t="s">
        <v>23</v>
      </c>
      <c r="B31" s="9">
        <v>29</v>
      </c>
      <c r="C31" s="8"/>
      <c r="D31" s="8" t="s">
        <v>15</v>
      </c>
    </row>
    <row r="32" spans="1:4" x14ac:dyDescent="0.2">
      <c r="A32" s="9" t="s">
        <v>23</v>
      </c>
      <c r="B32" s="9">
        <v>30</v>
      </c>
      <c r="C32" s="8"/>
      <c r="D32" s="8" t="s">
        <v>15</v>
      </c>
    </row>
    <row r="33" spans="1:4" x14ac:dyDescent="0.2">
      <c r="A33" s="9" t="s">
        <v>23</v>
      </c>
      <c r="B33" s="9">
        <v>31</v>
      </c>
      <c r="C33" s="8"/>
      <c r="D33" s="8" t="s">
        <v>15</v>
      </c>
    </row>
  </sheetData>
  <pageMargins left="0.7" right="0.7" top="0.75" bottom="0.75" header="0.3" footer="0.3"/>
  <pageSetup scale="140" orientation="portrait" verticalDpi="0" r:id="rId1"/>
  <ignoredErrors>
    <ignoredError sqref="A2:B33" numberStoredAsText="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3"/>
  <sheetViews>
    <sheetView workbookViewId="0">
      <selection activeCell="G12" sqref="G12"/>
    </sheetView>
  </sheetViews>
  <sheetFormatPr baseColWidth="10" defaultColWidth="8.83203125" defaultRowHeight="15" x14ac:dyDescent="0.2"/>
  <cols>
    <col min="1" max="1" width="8.83203125" style="7"/>
    <col min="2" max="2" width="16.1640625" bestFit="1" customWidth="1"/>
    <col min="3" max="3" width="16.33203125" customWidth="1"/>
    <col min="4" max="4" width="14.33203125" bestFit="1" customWidth="1"/>
  </cols>
  <sheetData>
    <row r="1" spans="1:4" x14ac:dyDescent="0.2">
      <c r="A1" s="9" t="s">
        <v>1</v>
      </c>
      <c r="B1" s="8" t="s">
        <v>2</v>
      </c>
      <c r="C1" s="8" t="s">
        <v>0</v>
      </c>
      <c r="D1" s="8" t="s">
        <v>14</v>
      </c>
    </row>
    <row r="2" spans="1:4" x14ac:dyDescent="0.2">
      <c r="A2" s="9" t="s">
        <v>24</v>
      </c>
      <c r="B2" s="9" t="s">
        <v>28</v>
      </c>
      <c r="C2" s="8"/>
      <c r="D2" s="8" t="s">
        <v>15</v>
      </c>
    </row>
    <row r="3" spans="1:4" x14ac:dyDescent="0.2">
      <c r="A3" s="9" t="s">
        <v>24</v>
      </c>
      <c r="B3" s="9" t="s">
        <v>29</v>
      </c>
      <c r="C3" s="8"/>
      <c r="D3" s="8" t="s">
        <v>15</v>
      </c>
    </row>
    <row r="4" spans="1:4" x14ac:dyDescent="0.2">
      <c r="A4" s="9" t="s">
        <v>24</v>
      </c>
      <c r="B4" s="9" t="s">
        <v>30</v>
      </c>
      <c r="C4" s="8"/>
      <c r="D4" s="8" t="s">
        <v>15</v>
      </c>
    </row>
    <row r="5" spans="1:4" x14ac:dyDescent="0.2">
      <c r="A5" s="9" t="s">
        <v>24</v>
      </c>
      <c r="B5" s="9" t="s">
        <v>31</v>
      </c>
      <c r="C5" s="8"/>
      <c r="D5" s="8" t="s">
        <v>15</v>
      </c>
    </row>
    <row r="6" spans="1:4" x14ac:dyDescent="0.2">
      <c r="A6" s="9" t="s">
        <v>24</v>
      </c>
      <c r="B6" s="9" t="s">
        <v>32</v>
      </c>
      <c r="C6" s="8"/>
      <c r="D6" s="8" t="s">
        <v>15</v>
      </c>
    </row>
    <row r="7" spans="1:4" x14ac:dyDescent="0.2">
      <c r="A7" s="9" t="s">
        <v>24</v>
      </c>
      <c r="B7" s="9" t="s">
        <v>23</v>
      </c>
      <c r="C7" s="8"/>
      <c r="D7" s="8" t="s">
        <v>15</v>
      </c>
    </row>
    <row r="8" spans="1:4" x14ac:dyDescent="0.2">
      <c r="A8" s="9" t="s">
        <v>24</v>
      </c>
      <c r="B8" s="9" t="s">
        <v>24</v>
      </c>
      <c r="C8" s="8"/>
      <c r="D8" s="8" t="s">
        <v>15</v>
      </c>
    </row>
    <row r="9" spans="1:4" x14ac:dyDescent="0.2">
      <c r="A9" s="9" t="s">
        <v>24</v>
      </c>
      <c r="B9" s="9" t="s">
        <v>25</v>
      </c>
      <c r="C9" s="8"/>
      <c r="D9" s="8" t="s">
        <v>15</v>
      </c>
    </row>
    <row r="10" spans="1:4" x14ac:dyDescent="0.2">
      <c r="A10" s="9" t="s">
        <v>24</v>
      </c>
      <c r="B10" s="9" t="s">
        <v>26</v>
      </c>
      <c r="C10" s="8"/>
      <c r="D10" s="8" t="s">
        <v>15</v>
      </c>
    </row>
    <row r="11" spans="1:4" x14ac:dyDescent="0.2">
      <c r="A11" s="9" t="s">
        <v>24</v>
      </c>
      <c r="B11" s="9" t="s">
        <v>27</v>
      </c>
      <c r="C11" s="8"/>
      <c r="D11" s="8" t="s">
        <v>15</v>
      </c>
    </row>
    <row r="12" spans="1:4" x14ac:dyDescent="0.2">
      <c r="A12" s="9" t="s">
        <v>24</v>
      </c>
      <c r="B12" s="9">
        <v>10</v>
      </c>
      <c r="C12" s="8"/>
      <c r="D12" s="8" t="s">
        <v>15</v>
      </c>
    </row>
    <row r="13" spans="1:4" x14ac:dyDescent="0.2">
      <c r="A13" s="9" t="s">
        <v>24</v>
      </c>
      <c r="B13" s="9">
        <v>11</v>
      </c>
      <c r="C13" s="8"/>
      <c r="D13" s="8" t="s">
        <v>15</v>
      </c>
    </row>
    <row r="14" spans="1:4" x14ac:dyDescent="0.2">
      <c r="A14" s="9" t="s">
        <v>24</v>
      </c>
      <c r="B14" s="9">
        <v>12</v>
      </c>
      <c r="C14" s="8"/>
      <c r="D14" s="8" t="s">
        <v>15</v>
      </c>
    </row>
    <row r="15" spans="1:4" x14ac:dyDescent="0.2">
      <c r="A15" s="9" t="s">
        <v>24</v>
      </c>
      <c r="B15" s="9">
        <v>13</v>
      </c>
      <c r="C15" s="8"/>
      <c r="D15" s="8" t="s">
        <v>15</v>
      </c>
    </row>
    <row r="16" spans="1:4" x14ac:dyDescent="0.2">
      <c r="A16" s="9" t="s">
        <v>24</v>
      </c>
      <c r="B16" s="9">
        <v>14</v>
      </c>
      <c r="C16" s="8"/>
      <c r="D16" s="8" t="s">
        <v>15</v>
      </c>
    </row>
    <row r="17" spans="1:4" x14ac:dyDescent="0.2">
      <c r="A17" s="9" t="s">
        <v>24</v>
      </c>
      <c r="B17" s="9">
        <v>15</v>
      </c>
      <c r="C17" s="8"/>
      <c r="D17" s="8" t="s">
        <v>15</v>
      </c>
    </row>
    <row r="18" spans="1:4" x14ac:dyDescent="0.2">
      <c r="A18" s="9" t="s">
        <v>24</v>
      </c>
      <c r="B18" s="9">
        <v>16</v>
      </c>
      <c r="C18" s="8"/>
      <c r="D18" s="8" t="s">
        <v>15</v>
      </c>
    </row>
    <row r="19" spans="1:4" x14ac:dyDescent="0.2">
      <c r="A19" s="9" t="s">
        <v>24</v>
      </c>
      <c r="B19" s="9">
        <v>17</v>
      </c>
      <c r="C19" s="8"/>
      <c r="D19" s="8" t="s">
        <v>15</v>
      </c>
    </row>
    <row r="20" spans="1:4" x14ac:dyDescent="0.2">
      <c r="A20" s="9" t="s">
        <v>24</v>
      </c>
      <c r="B20" s="9">
        <v>18</v>
      </c>
      <c r="C20" s="8"/>
      <c r="D20" s="8" t="s">
        <v>15</v>
      </c>
    </row>
    <row r="21" spans="1:4" x14ac:dyDescent="0.2">
      <c r="A21" s="9" t="s">
        <v>24</v>
      </c>
      <c r="B21" s="9">
        <v>19</v>
      </c>
      <c r="C21" s="8"/>
      <c r="D21" s="8" t="s">
        <v>15</v>
      </c>
    </row>
    <row r="22" spans="1:4" x14ac:dyDescent="0.2">
      <c r="A22" s="9" t="s">
        <v>24</v>
      </c>
      <c r="B22" s="9">
        <v>20</v>
      </c>
      <c r="C22" s="8"/>
      <c r="D22" s="8" t="s">
        <v>15</v>
      </c>
    </row>
    <row r="23" spans="1:4" x14ac:dyDescent="0.2">
      <c r="A23" s="9" t="s">
        <v>24</v>
      </c>
      <c r="B23" s="9">
        <v>21</v>
      </c>
      <c r="C23" s="8"/>
      <c r="D23" s="8" t="s">
        <v>15</v>
      </c>
    </row>
    <row r="24" spans="1:4" x14ac:dyDescent="0.2">
      <c r="A24" s="9" t="s">
        <v>24</v>
      </c>
      <c r="B24" s="9">
        <v>22</v>
      </c>
      <c r="C24" s="8"/>
      <c r="D24" s="8" t="s">
        <v>15</v>
      </c>
    </row>
    <row r="25" spans="1:4" x14ac:dyDescent="0.2">
      <c r="A25" s="9" t="s">
        <v>24</v>
      </c>
      <c r="B25" s="9">
        <v>23</v>
      </c>
      <c r="C25" s="8"/>
      <c r="D25" s="8" t="s">
        <v>15</v>
      </c>
    </row>
    <row r="26" spans="1:4" x14ac:dyDescent="0.2">
      <c r="A26" s="9" t="s">
        <v>24</v>
      </c>
      <c r="B26" s="9">
        <v>24</v>
      </c>
      <c r="C26" s="8"/>
      <c r="D26" s="8" t="s">
        <v>15</v>
      </c>
    </row>
    <row r="27" spans="1:4" x14ac:dyDescent="0.2">
      <c r="A27" s="9" t="s">
        <v>24</v>
      </c>
      <c r="B27" s="9">
        <v>25</v>
      </c>
      <c r="C27" s="8"/>
      <c r="D27" s="8" t="s">
        <v>15</v>
      </c>
    </row>
    <row r="28" spans="1:4" x14ac:dyDescent="0.2">
      <c r="A28" s="9" t="s">
        <v>24</v>
      </c>
      <c r="B28" s="9">
        <v>26</v>
      </c>
      <c r="C28" s="8"/>
      <c r="D28" s="8" t="s">
        <v>15</v>
      </c>
    </row>
    <row r="29" spans="1:4" x14ac:dyDescent="0.2">
      <c r="A29" s="9" t="s">
        <v>24</v>
      </c>
      <c r="B29" s="9">
        <v>27</v>
      </c>
      <c r="C29" s="8"/>
      <c r="D29" s="8" t="s">
        <v>15</v>
      </c>
    </row>
    <row r="30" spans="1:4" x14ac:dyDescent="0.2">
      <c r="A30" s="9" t="s">
        <v>24</v>
      </c>
      <c r="B30" s="9">
        <v>28</v>
      </c>
      <c r="C30" s="8"/>
      <c r="D30" s="8" t="s">
        <v>15</v>
      </c>
    </row>
    <row r="31" spans="1:4" x14ac:dyDescent="0.2">
      <c r="A31" s="9" t="s">
        <v>24</v>
      </c>
      <c r="B31" s="9">
        <v>29</v>
      </c>
      <c r="C31" s="8"/>
      <c r="D31" s="8" t="s">
        <v>15</v>
      </c>
    </row>
    <row r="32" spans="1:4" x14ac:dyDescent="0.2">
      <c r="A32" s="9" t="s">
        <v>24</v>
      </c>
      <c r="B32" s="9">
        <v>30</v>
      </c>
      <c r="C32" s="8"/>
      <c r="D32" s="8" t="s">
        <v>15</v>
      </c>
    </row>
    <row r="33" spans="1:4" x14ac:dyDescent="0.2">
      <c r="A33" s="9" t="s">
        <v>24</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33"/>
  <sheetViews>
    <sheetView workbookViewId="0">
      <selection activeCell="J12" sqref="J12"/>
    </sheetView>
  </sheetViews>
  <sheetFormatPr baseColWidth="10" defaultColWidth="8.83203125" defaultRowHeight="15" x14ac:dyDescent="0.2"/>
  <cols>
    <col min="1" max="1" width="8.83203125" style="7"/>
    <col min="2" max="2" width="16.1640625" bestFit="1" customWidth="1"/>
    <col min="3" max="3" width="16.33203125" customWidth="1"/>
    <col min="4" max="4" width="14.33203125" bestFit="1" customWidth="1"/>
  </cols>
  <sheetData>
    <row r="1" spans="1:7" x14ac:dyDescent="0.2">
      <c r="A1" s="9" t="s">
        <v>1</v>
      </c>
      <c r="B1" s="8" t="s">
        <v>2</v>
      </c>
      <c r="C1" s="8" t="s">
        <v>0</v>
      </c>
      <c r="D1" s="8" t="s">
        <v>14</v>
      </c>
      <c r="F1" t="s">
        <v>127</v>
      </c>
      <c r="G1" t="s">
        <v>128</v>
      </c>
    </row>
    <row r="2" spans="1:7" x14ac:dyDescent="0.2">
      <c r="A2" s="9" t="s">
        <v>25</v>
      </c>
      <c r="B2" s="9" t="s">
        <v>28</v>
      </c>
      <c r="C2" s="8" t="s">
        <v>76</v>
      </c>
      <c r="D2" s="8" t="s">
        <v>15</v>
      </c>
      <c r="F2">
        <v>2</v>
      </c>
      <c r="G2">
        <v>1</v>
      </c>
    </row>
    <row r="3" spans="1:7" x14ac:dyDescent="0.2">
      <c r="A3" s="9" t="s">
        <v>25</v>
      </c>
      <c r="B3" s="9" t="s">
        <v>29</v>
      </c>
      <c r="C3" s="8" t="s">
        <v>165</v>
      </c>
      <c r="D3" s="8" t="s">
        <v>15</v>
      </c>
      <c r="F3">
        <v>2</v>
      </c>
      <c r="G3">
        <v>2</v>
      </c>
    </row>
    <row r="4" spans="1:7" x14ac:dyDescent="0.2">
      <c r="A4" s="9" t="s">
        <v>25</v>
      </c>
      <c r="B4" s="9" t="s">
        <v>30</v>
      </c>
      <c r="C4" s="8" t="s">
        <v>77</v>
      </c>
      <c r="D4" s="8" t="s">
        <v>15</v>
      </c>
      <c r="F4">
        <v>2</v>
      </c>
      <c r="G4">
        <v>3</v>
      </c>
    </row>
    <row r="5" spans="1:7" x14ac:dyDescent="0.2">
      <c r="A5" s="9" t="s">
        <v>25</v>
      </c>
      <c r="B5" s="9" t="s">
        <v>31</v>
      </c>
      <c r="C5" s="8" t="s">
        <v>166</v>
      </c>
      <c r="D5" s="8" t="s">
        <v>15</v>
      </c>
      <c r="F5">
        <v>2</v>
      </c>
      <c r="G5">
        <v>4</v>
      </c>
    </row>
    <row r="6" spans="1:7" x14ac:dyDescent="0.2">
      <c r="A6" s="9" t="s">
        <v>25</v>
      </c>
      <c r="B6" s="9" t="s">
        <v>32</v>
      </c>
      <c r="C6" s="8" t="s">
        <v>78</v>
      </c>
      <c r="D6" s="8" t="s">
        <v>15</v>
      </c>
      <c r="F6">
        <v>2</v>
      </c>
      <c r="G6">
        <v>5</v>
      </c>
    </row>
    <row r="7" spans="1:7" x14ac:dyDescent="0.2">
      <c r="A7" s="9" t="s">
        <v>25</v>
      </c>
      <c r="B7" s="9" t="s">
        <v>23</v>
      </c>
      <c r="C7" s="8" t="s">
        <v>167</v>
      </c>
      <c r="D7" s="8" t="s">
        <v>15</v>
      </c>
      <c r="F7">
        <v>2</v>
      </c>
      <c r="G7">
        <v>6</v>
      </c>
    </row>
    <row r="8" spans="1:7" x14ac:dyDescent="0.2">
      <c r="A8" s="9" t="s">
        <v>25</v>
      </c>
      <c r="B8" s="9" t="s">
        <v>24</v>
      </c>
      <c r="C8" s="8" t="s">
        <v>79</v>
      </c>
      <c r="D8" s="8" t="s">
        <v>15</v>
      </c>
      <c r="F8">
        <v>2</v>
      </c>
      <c r="G8">
        <v>7</v>
      </c>
    </row>
    <row r="9" spans="1:7" x14ac:dyDescent="0.2">
      <c r="A9" s="9" t="s">
        <v>25</v>
      </c>
      <c r="B9" s="9" t="s">
        <v>25</v>
      </c>
      <c r="C9" s="8"/>
      <c r="D9" s="8" t="s">
        <v>15</v>
      </c>
    </row>
    <row r="10" spans="1:7" x14ac:dyDescent="0.2">
      <c r="A10" s="9" t="s">
        <v>25</v>
      </c>
      <c r="B10" s="9" t="s">
        <v>26</v>
      </c>
      <c r="C10" s="8" t="s">
        <v>80</v>
      </c>
      <c r="D10" s="8" t="s">
        <v>15</v>
      </c>
      <c r="F10">
        <v>2</v>
      </c>
      <c r="G10">
        <v>9</v>
      </c>
    </row>
    <row r="11" spans="1:7" x14ac:dyDescent="0.2">
      <c r="A11" s="9" t="s">
        <v>25</v>
      </c>
      <c r="B11" s="9" t="s">
        <v>27</v>
      </c>
      <c r="C11" s="8" t="s">
        <v>168</v>
      </c>
      <c r="D11" s="8" t="s">
        <v>15</v>
      </c>
      <c r="F11">
        <v>2</v>
      </c>
      <c r="G11">
        <v>10</v>
      </c>
    </row>
    <row r="12" spans="1:7" x14ac:dyDescent="0.2">
      <c r="A12" s="9" t="s">
        <v>25</v>
      </c>
      <c r="B12" s="9">
        <v>10</v>
      </c>
      <c r="C12" s="8" t="s">
        <v>81</v>
      </c>
      <c r="D12" s="8" t="s">
        <v>15</v>
      </c>
      <c r="F12">
        <v>2</v>
      </c>
      <c r="G12">
        <v>11</v>
      </c>
    </row>
    <row r="13" spans="1:7" x14ac:dyDescent="0.2">
      <c r="A13" s="9" t="s">
        <v>25</v>
      </c>
      <c r="B13" s="9">
        <v>11</v>
      </c>
      <c r="C13" s="8" t="s">
        <v>169</v>
      </c>
      <c r="D13" s="8" t="s">
        <v>15</v>
      </c>
      <c r="F13">
        <v>2</v>
      </c>
      <c r="G13">
        <v>12</v>
      </c>
    </row>
    <row r="14" spans="1:7" x14ac:dyDescent="0.2">
      <c r="A14" s="9" t="s">
        <v>25</v>
      </c>
      <c r="B14" s="9">
        <v>12</v>
      </c>
      <c r="C14" s="8" t="s">
        <v>82</v>
      </c>
      <c r="D14" s="8" t="s">
        <v>15</v>
      </c>
      <c r="F14">
        <v>2</v>
      </c>
      <c r="G14">
        <v>13</v>
      </c>
    </row>
    <row r="15" spans="1:7" x14ac:dyDescent="0.2">
      <c r="A15" s="9" t="s">
        <v>25</v>
      </c>
      <c r="B15" s="9">
        <v>13</v>
      </c>
      <c r="C15" s="8" t="s">
        <v>170</v>
      </c>
      <c r="D15" s="8" t="s">
        <v>15</v>
      </c>
      <c r="F15">
        <v>2</v>
      </c>
      <c r="G15">
        <v>14</v>
      </c>
    </row>
    <row r="16" spans="1:7" x14ac:dyDescent="0.2">
      <c r="A16" s="9" t="s">
        <v>25</v>
      </c>
      <c r="B16" s="9">
        <v>14</v>
      </c>
      <c r="C16" s="8" t="s">
        <v>83</v>
      </c>
      <c r="D16" s="8" t="s">
        <v>15</v>
      </c>
      <c r="F16">
        <v>2</v>
      </c>
      <c r="G16">
        <v>15</v>
      </c>
    </row>
    <row r="17" spans="1:7" x14ac:dyDescent="0.2">
      <c r="A17" s="9" t="s">
        <v>25</v>
      </c>
      <c r="B17" s="9">
        <v>15</v>
      </c>
      <c r="C17" s="8"/>
      <c r="D17" s="8" t="s">
        <v>15</v>
      </c>
    </row>
    <row r="18" spans="1:7" x14ac:dyDescent="0.2">
      <c r="A18" s="9" t="s">
        <v>25</v>
      </c>
      <c r="B18" s="9">
        <v>16</v>
      </c>
      <c r="C18" s="8" t="s">
        <v>84</v>
      </c>
      <c r="D18" s="8" t="s">
        <v>15</v>
      </c>
      <c r="F18">
        <v>2</v>
      </c>
      <c r="G18">
        <v>17</v>
      </c>
    </row>
    <row r="19" spans="1:7" x14ac:dyDescent="0.2">
      <c r="A19" s="9" t="s">
        <v>25</v>
      </c>
      <c r="B19" s="9">
        <v>17</v>
      </c>
      <c r="C19" s="8" t="s">
        <v>138</v>
      </c>
      <c r="D19" s="8" t="s">
        <v>15</v>
      </c>
      <c r="F19">
        <v>2</v>
      </c>
      <c r="G19">
        <v>18</v>
      </c>
    </row>
    <row r="20" spans="1:7" x14ac:dyDescent="0.2">
      <c r="A20" s="9" t="s">
        <v>25</v>
      </c>
      <c r="B20" s="9">
        <v>18</v>
      </c>
      <c r="C20" s="8" t="s">
        <v>85</v>
      </c>
      <c r="D20" s="8" t="s">
        <v>15</v>
      </c>
      <c r="F20">
        <v>2</v>
      </c>
      <c r="G20">
        <v>19</v>
      </c>
    </row>
    <row r="21" spans="1:7" x14ac:dyDescent="0.2">
      <c r="A21" s="9" t="s">
        <v>25</v>
      </c>
      <c r="B21" s="9">
        <v>19</v>
      </c>
      <c r="C21" s="8" t="s">
        <v>139</v>
      </c>
      <c r="D21" s="8" t="s">
        <v>15</v>
      </c>
      <c r="F21">
        <v>2</v>
      </c>
      <c r="G21">
        <v>20</v>
      </c>
    </row>
    <row r="22" spans="1:7" x14ac:dyDescent="0.2">
      <c r="A22" s="9" t="s">
        <v>25</v>
      </c>
      <c r="B22" s="9">
        <v>20</v>
      </c>
      <c r="C22" s="8" t="s">
        <v>86</v>
      </c>
      <c r="D22" s="8" t="s">
        <v>15</v>
      </c>
      <c r="F22">
        <v>2</v>
      </c>
      <c r="G22">
        <v>21</v>
      </c>
    </row>
    <row r="23" spans="1:7" x14ac:dyDescent="0.2">
      <c r="A23" s="9" t="s">
        <v>25</v>
      </c>
      <c r="B23" s="9">
        <v>21</v>
      </c>
      <c r="C23" s="8" t="s">
        <v>140</v>
      </c>
      <c r="D23" s="8" t="s">
        <v>15</v>
      </c>
      <c r="F23">
        <v>2</v>
      </c>
      <c r="G23">
        <v>22</v>
      </c>
    </row>
    <row r="24" spans="1:7" x14ac:dyDescent="0.2">
      <c r="A24" s="9" t="s">
        <v>25</v>
      </c>
      <c r="B24" s="9">
        <v>22</v>
      </c>
      <c r="C24" s="8" t="s">
        <v>87</v>
      </c>
      <c r="D24" s="8" t="s">
        <v>15</v>
      </c>
      <c r="F24">
        <v>2</v>
      </c>
      <c r="G24">
        <v>23</v>
      </c>
    </row>
    <row r="25" spans="1:7" x14ac:dyDescent="0.2">
      <c r="A25" s="9" t="s">
        <v>25</v>
      </c>
      <c r="B25" s="9">
        <v>23</v>
      </c>
      <c r="C25" s="8"/>
      <c r="D25" s="8" t="s">
        <v>15</v>
      </c>
    </row>
    <row r="26" spans="1:7" x14ac:dyDescent="0.2">
      <c r="A26" s="9" t="s">
        <v>25</v>
      </c>
      <c r="B26" s="9">
        <v>24</v>
      </c>
      <c r="C26" s="8" t="s">
        <v>88</v>
      </c>
      <c r="D26" s="8" t="s">
        <v>15</v>
      </c>
    </row>
    <row r="27" spans="1:7" x14ac:dyDescent="0.2">
      <c r="A27" s="9" t="s">
        <v>25</v>
      </c>
      <c r="B27" s="9">
        <v>25</v>
      </c>
      <c r="C27" s="8" t="s">
        <v>141</v>
      </c>
      <c r="D27" s="8" t="s">
        <v>15</v>
      </c>
    </row>
    <row r="28" spans="1:7" x14ac:dyDescent="0.2">
      <c r="A28" s="9" t="s">
        <v>25</v>
      </c>
      <c r="B28" s="9">
        <v>26</v>
      </c>
      <c r="C28" s="8" t="s">
        <v>89</v>
      </c>
      <c r="D28" s="8" t="s">
        <v>15</v>
      </c>
    </row>
    <row r="29" spans="1:7" x14ac:dyDescent="0.2">
      <c r="A29" s="9" t="s">
        <v>25</v>
      </c>
      <c r="B29" s="9">
        <v>27</v>
      </c>
      <c r="C29" s="8" t="s">
        <v>142</v>
      </c>
      <c r="D29" s="8" t="s">
        <v>15</v>
      </c>
    </row>
    <row r="30" spans="1:7" x14ac:dyDescent="0.2">
      <c r="A30" s="9" t="s">
        <v>25</v>
      </c>
      <c r="B30" s="9">
        <v>28</v>
      </c>
      <c r="C30" s="8" t="s">
        <v>90</v>
      </c>
      <c r="D30" s="8" t="s">
        <v>15</v>
      </c>
    </row>
    <row r="31" spans="1:7" x14ac:dyDescent="0.2">
      <c r="A31" s="9" t="s">
        <v>25</v>
      </c>
      <c r="B31" s="9">
        <v>29</v>
      </c>
      <c r="C31" s="8" t="s">
        <v>143</v>
      </c>
      <c r="D31" s="8" t="s">
        <v>15</v>
      </c>
    </row>
    <row r="32" spans="1:7" x14ac:dyDescent="0.2">
      <c r="A32" s="9" t="s">
        <v>25</v>
      </c>
      <c r="B32" s="9">
        <v>30</v>
      </c>
      <c r="C32" s="8" t="s">
        <v>91</v>
      </c>
      <c r="D32" s="8" t="s">
        <v>15</v>
      </c>
    </row>
    <row r="33" spans="1:4" x14ac:dyDescent="0.2">
      <c r="A33" s="9" t="s">
        <v>25</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'Channel Functions'!$A$2:$A$4</xm:f>
          </x14:formula1>
          <xm:sqref>D2:D33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33"/>
  <sheetViews>
    <sheetView workbookViewId="0">
      <selection activeCell="F9" sqref="F9"/>
    </sheetView>
  </sheetViews>
  <sheetFormatPr baseColWidth="10" defaultColWidth="8.83203125" defaultRowHeight="15" x14ac:dyDescent="0.2"/>
  <cols>
    <col min="1" max="1" width="8.83203125" style="7"/>
    <col min="2" max="2" width="16.1640625" bestFit="1" customWidth="1"/>
    <col min="3" max="3" width="16.33203125" customWidth="1"/>
    <col min="4" max="4" width="14.33203125" bestFit="1" customWidth="1"/>
  </cols>
  <sheetData>
    <row r="1" spans="1:4" x14ac:dyDescent="0.2">
      <c r="A1" s="9" t="s">
        <v>1</v>
      </c>
      <c r="B1" s="8" t="s">
        <v>2</v>
      </c>
      <c r="C1" s="8" t="s">
        <v>0</v>
      </c>
      <c r="D1" s="8" t="s">
        <v>14</v>
      </c>
    </row>
    <row r="2" spans="1:4" x14ac:dyDescent="0.2">
      <c r="A2" s="9" t="s">
        <v>26</v>
      </c>
      <c r="B2" s="9" t="s">
        <v>28</v>
      </c>
      <c r="C2" s="8" t="s">
        <v>92</v>
      </c>
      <c r="D2" s="8" t="s">
        <v>15</v>
      </c>
    </row>
    <row r="3" spans="1:4" x14ac:dyDescent="0.2">
      <c r="A3" s="9" t="s">
        <v>26</v>
      </c>
      <c r="B3" s="9" t="s">
        <v>29</v>
      </c>
      <c r="C3" s="8" t="s">
        <v>93</v>
      </c>
      <c r="D3" s="8" t="s">
        <v>15</v>
      </c>
    </row>
    <row r="4" spans="1:4" x14ac:dyDescent="0.2">
      <c r="A4" s="9" t="s">
        <v>26</v>
      </c>
      <c r="B4" s="9" t="s">
        <v>30</v>
      </c>
      <c r="C4" s="8" t="s">
        <v>94</v>
      </c>
      <c r="D4" s="8" t="s">
        <v>15</v>
      </c>
    </row>
    <row r="5" spans="1:4" x14ac:dyDescent="0.2">
      <c r="A5" s="9" t="s">
        <v>26</v>
      </c>
      <c r="B5" s="9" t="s">
        <v>31</v>
      </c>
      <c r="C5" s="8" t="s">
        <v>95</v>
      </c>
      <c r="D5" s="8" t="s">
        <v>15</v>
      </c>
    </row>
    <row r="6" spans="1:4" x14ac:dyDescent="0.2">
      <c r="A6" s="9" t="s">
        <v>26</v>
      </c>
      <c r="B6" s="9" t="s">
        <v>32</v>
      </c>
      <c r="C6" s="8" t="s">
        <v>96</v>
      </c>
      <c r="D6" s="8" t="s">
        <v>15</v>
      </c>
    </row>
    <row r="7" spans="1:4" x14ac:dyDescent="0.2">
      <c r="A7" s="9" t="s">
        <v>26</v>
      </c>
      <c r="B7" s="9" t="s">
        <v>23</v>
      </c>
      <c r="C7" s="8"/>
      <c r="D7" s="8" t="s">
        <v>15</v>
      </c>
    </row>
    <row r="8" spans="1:4" x14ac:dyDescent="0.2">
      <c r="A8" s="9" t="s">
        <v>26</v>
      </c>
      <c r="B8" s="9" t="s">
        <v>24</v>
      </c>
      <c r="C8" s="8" t="s">
        <v>97</v>
      </c>
      <c r="D8" s="8" t="s">
        <v>15</v>
      </c>
    </row>
    <row r="9" spans="1:4" x14ac:dyDescent="0.2">
      <c r="A9" s="9" t="s">
        <v>26</v>
      </c>
      <c r="B9" s="9" t="s">
        <v>25</v>
      </c>
      <c r="C9" s="8" t="s">
        <v>98</v>
      </c>
      <c r="D9" s="8" t="s">
        <v>15</v>
      </c>
    </row>
    <row r="10" spans="1:4" x14ac:dyDescent="0.2">
      <c r="A10" s="9" t="s">
        <v>26</v>
      </c>
      <c r="B10" s="9" t="s">
        <v>26</v>
      </c>
      <c r="C10" s="8" t="s">
        <v>99</v>
      </c>
      <c r="D10" s="8" t="s">
        <v>15</v>
      </c>
    </row>
    <row r="11" spans="1:4" x14ac:dyDescent="0.2">
      <c r="A11" s="9" t="s">
        <v>26</v>
      </c>
      <c r="B11" s="9" t="s">
        <v>27</v>
      </c>
      <c r="C11" s="8" t="s">
        <v>100</v>
      </c>
      <c r="D11" s="8" t="s">
        <v>15</v>
      </c>
    </row>
    <row r="12" spans="1:4" x14ac:dyDescent="0.2">
      <c r="A12" s="9" t="s">
        <v>26</v>
      </c>
      <c r="B12" s="9">
        <v>10</v>
      </c>
      <c r="C12" s="8" t="s">
        <v>101</v>
      </c>
      <c r="D12" s="8" t="s">
        <v>15</v>
      </c>
    </row>
    <row r="13" spans="1:4" x14ac:dyDescent="0.2">
      <c r="A13" s="9" t="s">
        <v>26</v>
      </c>
      <c r="B13" s="9">
        <v>11</v>
      </c>
      <c r="C13" s="8"/>
      <c r="D13" s="8" t="s">
        <v>15</v>
      </c>
    </row>
    <row r="14" spans="1:4" x14ac:dyDescent="0.2">
      <c r="A14" s="9" t="s">
        <v>26</v>
      </c>
      <c r="B14" s="9">
        <v>12</v>
      </c>
      <c r="C14" s="8" t="s">
        <v>102</v>
      </c>
      <c r="D14" s="8" t="s">
        <v>15</v>
      </c>
    </row>
    <row r="15" spans="1:4" x14ac:dyDescent="0.2">
      <c r="A15" s="9" t="s">
        <v>26</v>
      </c>
      <c r="B15" s="9">
        <v>13</v>
      </c>
      <c r="C15" s="8" t="s">
        <v>103</v>
      </c>
      <c r="D15" s="8" t="s">
        <v>15</v>
      </c>
    </row>
    <row r="16" spans="1:4" x14ac:dyDescent="0.2">
      <c r="A16" s="9" t="s">
        <v>26</v>
      </c>
      <c r="B16" s="9">
        <v>14</v>
      </c>
      <c r="C16" s="8" t="s">
        <v>104</v>
      </c>
      <c r="D16" s="8" t="s">
        <v>15</v>
      </c>
    </row>
    <row r="17" spans="1:4" x14ac:dyDescent="0.2">
      <c r="A17" s="9" t="s">
        <v>26</v>
      </c>
      <c r="B17" s="9">
        <v>15</v>
      </c>
      <c r="C17" s="8" t="s">
        <v>105</v>
      </c>
      <c r="D17" s="8" t="s">
        <v>15</v>
      </c>
    </row>
    <row r="18" spans="1:4" x14ac:dyDescent="0.2">
      <c r="A18" s="9" t="s">
        <v>26</v>
      </c>
      <c r="B18" s="9">
        <v>16</v>
      </c>
      <c r="C18" s="8" t="s">
        <v>106</v>
      </c>
      <c r="D18" s="8" t="s">
        <v>15</v>
      </c>
    </row>
    <row r="19" spans="1:4" x14ac:dyDescent="0.2">
      <c r="A19" s="9" t="s">
        <v>26</v>
      </c>
      <c r="B19" s="9">
        <v>17</v>
      </c>
      <c r="C19" s="8"/>
      <c r="D19" s="8" t="s">
        <v>15</v>
      </c>
    </row>
    <row r="20" spans="1:4" x14ac:dyDescent="0.2">
      <c r="A20" s="9" t="s">
        <v>26</v>
      </c>
      <c r="B20" s="9">
        <v>18</v>
      </c>
      <c r="C20" s="8" t="s">
        <v>107</v>
      </c>
      <c r="D20" s="8" t="s">
        <v>15</v>
      </c>
    </row>
    <row r="21" spans="1:4" x14ac:dyDescent="0.2">
      <c r="A21" s="9" t="s">
        <v>26</v>
      </c>
      <c r="B21" s="9">
        <v>19</v>
      </c>
      <c r="C21" s="8" t="s">
        <v>108</v>
      </c>
      <c r="D21" s="8" t="s">
        <v>15</v>
      </c>
    </row>
    <row r="22" spans="1:4" x14ac:dyDescent="0.2">
      <c r="A22" s="9" t="s">
        <v>26</v>
      </c>
      <c r="B22" s="9">
        <v>20</v>
      </c>
      <c r="C22" s="8" t="s">
        <v>109</v>
      </c>
      <c r="D22" s="8" t="s">
        <v>15</v>
      </c>
    </row>
    <row r="23" spans="1:4" x14ac:dyDescent="0.2">
      <c r="A23" s="9" t="s">
        <v>26</v>
      </c>
      <c r="B23" s="9">
        <v>21</v>
      </c>
      <c r="C23" s="8" t="s">
        <v>110</v>
      </c>
      <c r="D23" s="8" t="s">
        <v>15</v>
      </c>
    </row>
    <row r="24" spans="1:4" x14ac:dyDescent="0.2">
      <c r="A24" s="9" t="s">
        <v>26</v>
      </c>
      <c r="B24" s="9">
        <v>22</v>
      </c>
      <c r="C24" s="8" t="s">
        <v>111</v>
      </c>
      <c r="D24" s="8" t="s">
        <v>15</v>
      </c>
    </row>
    <row r="25" spans="1:4" x14ac:dyDescent="0.2">
      <c r="A25" s="9" t="s">
        <v>26</v>
      </c>
      <c r="B25" s="9">
        <v>23</v>
      </c>
      <c r="C25" s="8"/>
      <c r="D25" s="8" t="s">
        <v>15</v>
      </c>
    </row>
    <row r="26" spans="1:4" x14ac:dyDescent="0.2">
      <c r="A26" s="9" t="s">
        <v>26</v>
      </c>
      <c r="B26" s="9">
        <v>24</v>
      </c>
      <c r="C26" s="8"/>
      <c r="D26" s="8" t="s">
        <v>15</v>
      </c>
    </row>
    <row r="27" spans="1:4" x14ac:dyDescent="0.2">
      <c r="A27" s="9" t="s">
        <v>26</v>
      </c>
      <c r="B27" s="9">
        <v>25</v>
      </c>
      <c r="C27" s="8"/>
      <c r="D27" s="8" t="s">
        <v>15</v>
      </c>
    </row>
    <row r="28" spans="1:4" x14ac:dyDescent="0.2">
      <c r="A28" s="9" t="s">
        <v>26</v>
      </c>
      <c r="B28" s="9">
        <v>26</v>
      </c>
      <c r="C28" s="8"/>
      <c r="D28" s="8" t="s">
        <v>15</v>
      </c>
    </row>
    <row r="29" spans="1:4" x14ac:dyDescent="0.2">
      <c r="A29" s="9" t="s">
        <v>26</v>
      </c>
      <c r="B29" s="9">
        <v>27</v>
      </c>
      <c r="C29" s="8"/>
      <c r="D29" s="8" t="s">
        <v>15</v>
      </c>
    </row>
    <row r="30" spans="1:4" x14ac:dyDescent="0.2">
      <c r="A30" s="9" t="s">
        <v>26</v>
      </c>
      <c r="B30" s="9">
        <v>28</v>
      </c>
      <c r="C30" s="8"/>
      <c r="D30" s="8" t="s">
        <v>15</v>
      </c>
    </row>
    <row r="31" spans="1:4" x14ac:dyDescent="0.2">
      <c r="A31" s="9" t="s">
        <v>26</v>
      </c>
      <c r="B31" s="9">
        <v>29</v>
      </c>
      <c r="C31" s="8"/>
      <c r="D31" s="8" t="s">
        <v>15</v>
      </c>
    </row>
    <row r="32" spans="1:4" x14ac:dyDescent="0.2">
      <c r="A32" s="9" t="s">
        <v>26</v>
      </c>
      <c r="B32" s="9">
        <v>30</v>
      </c>
      <c r="C32" s="8"/>
      <c r="D32" s="8" t="s">
        <v>15</v>
      </c>
    </row>
    <row r="33" spans="1:4" x14ac:dyDescent="0.2">
      <c r="A33" s="9" t="s">
        <v>26</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33"/>
  <sheetViews>
    <sheetView workbookViewId="0">
      <selection activeCell="F12" sqref="F12"/>
    </sheetView>
  </sheetViews>
  <sheetFormatPr baseColWidth="10" defaultColWidth="8.83203125" defaultRowHeight="15" x14ac:dyDescent="0.2"/>
  <cols>
    <col min="1" max="1" width="8.83203125" style="7"/>
    <col min="2" max="2" width="16.1640625" bestFit="1" customWidth="1"/>
    <col min="3" max="3" width="16.33203125" customWidth="1"/>
    <col min="4" max="4" width="14.33203125" bestFit="1" customWidth="1"/>
  </cols>
  <sheetData>
    <row r="1" spans="1:4" x14ac:dyDescent="0.2">
      <c r="A1" s="9" t="s">
        <v>1</v>
      </c>
      <c r="B1" s="8" t="s">
        <v>2</v>
      </c>
      <c r="C1" s="8" t="s">
        <v>0</v>
      </c>
      <c r="D1" s="8" t="s">
        <v>14</v>
      </c>
    </row>
    <row r="2" spans="1:4" x14ac:dyDescent="0.2">
      <c r="A2" s="9" t="s">
        <v>27</v>
      </c>
      <c r="B2" s="9" t="s">
        <v>28</v>
      </c>
      <c r="C2" s="8"/>
      <c r="D2" s="8" t="s">
        <v>15</v>
      </c>
    </row>
    <row r="3" spans="1:4" x14ac:dyDescent="0.2">
      <c r="A3" s="9" t="s">
        <v>27</v>
      </c>
      <c r="B3" s="9" t="s">
        <v>29</v>
      </c>
      <c r="C3" s="8"/>
      <c r="D3" s="8" t="s">
        <v>15</v>
      </c>
    </row>
    <row r="4" spans="1:4" x14ac:dyDescent="0.2">
      <c r="A4" s="9" t="s">
        <v>27</v>
      </c>
      <c r="B4" s="9" t="s">
        <v>30</v>
      </c>
      <c r="C4" s="8"/>
      <c r="D4" s="8" t="s">
        <v>15</v>
      </c>
    </row>
    <row r="5" spans="1:4" x14ac:dyDescent="0.2">
      <c r="A5" s="9" t="s">
        <v>27</v>
      </c>
      <c r="B5" s="9" t="s">
        <v>31</v>
      </c>
      <c r="C5" s="8"/>
      <c r="D5" s="8" t="s">
        <v>15</v>
      </c>
    </row>
    <row r="6" spans="1:4" x14ac:dyDescent="0.2">
      <c r="A6" s="9" t="s">
        <v>27</v>
      </c>
      <c r="B6" s="9" t="s">
        <v>32</v>
      </c>
      <c r="C6" s="8"/>
      <c r="D6" s="8" t="s">
        <v>15</v>
      </c>
    </row>
    <row r="7" spans="1:4" x14ac:dyDescent="0.2">
      <c r="A7" s="9" t="s">
        <v>27</v>
      </c>
      <c r="B7" s="9" t="s">
        <v>23</v>
      </c>
      <c r="C7" s="8"/>
      <c r="D7" s="8" t="s">
        <v>15</v>
      </c>
    </row>
    <row r="8" spans="1:4" x14ac:dyDescent="0.2">
      <c r="A8" s="9" t="s">
        <v>27</v>
      </c>
      <c r="B8" s="9" t="s">
        <v>24</v>
      </c>
      <c r="C8" s="8"/>
      <c r="D8" s="8" t="s">
        <v>15</v>
      </c>
    </row>
    <row r="9" spans="1:4" x14ac:dyDescent="0.2">
      <c r="A9" s="9" t="s">
        <v>27</v>
      </c>
      <c r="B9" s="9" t="s">
        <v>25</v>
      </c>
      <c r="C9" s="8"/>
      <c r="D9" s="8" t="s">
        <v>15</v>
      </c>
    </row>
    <row r="10" spans="1:4" x14ac:dyDescent="0.2">
      <c r="A10" s="9" t="s">
        <v>27</v>
      </c>
      <c r="B10" s="9" t="s">
        <v>26</v>
      </c>
      <c r="C10" s="8"/>
      <c r="D10" s="8" t="s">
        <v>15</v>
      </c>
    </row>
    <row r="11" spans="1:4" x14ac:dyDescent="0.2">
      <c r="A11" s="9" t="s">
        <v>27</v>
      </c>
      <c r="B11" s="9" t="s">
        <v>27</v>
      </c>
      <c r="C11" s="8"/>
      <c r="D11" s="8" t="s">
        <v>15</v>
      </c>
    </row>
    <row r="12" spans="1:4" x14ac:dyDescent="0.2">
      <c r="A12" s="9" t="s">
        <v>27</v>
      </c>
      <c r="B12" s="9">
        <v>10</v>
      </c>
      <c r="C12" s="8"/>
      <c r="D12" s="8" t="s">
        <v>15</v>
      </c>
    </row>
    <row r="13" spans="1:4" x14ac:dyDescent="0.2">
      <c r="A13" s="9" t="s">
        <v>27</v>
      </c>
      <c r="B13" s="9">
        <v>11</v>
      </c>
      <c r="C13" s="8"/>
      <c r="D13" s="8" t="s">
        <v>15</v>
      </c>
    </row>
    <row r="14" spans="1:4" x14ac:dyDescent="0.2">
      <c r="A14" s="9" t="s">
        <v>27</v>
      </c>
      <c r="B14" s="9">
        <v>12</v>
      </c>
      <c r="C14" s="8"/>
      <c r="D14" s="8" t="s">
        <v>15</v>
      </c>
    </row>
    <row r="15" spans="1:4" x14ac:dyDescent="0.2">
      <c r="A15" s="9" t="s">
        <v>27</v>
      </c>
      <c r="B15" s="9">
        <v>13</v>
      </c>
      <c r="C15" s="8"/>
      <c r="D15" s="8" t="s">
        <v>15</v>
      </c>
    </row>
    <row r="16" spans="1:4" x14ac:dyDescent="0.2">
      <c r="A16" s="9" t="s">
        <v>27</v>
      </c>
      <c r="B16" s="9">
        <v>14</v>
      </c>
      <c r="C16" s="8"/>
      <c r="D16" s="8" t="s">
        <v>15</v>
      </c>
    </row>
    <row r="17" spans="1:4" x14ac:dyDescent="0.2">
      <c r="A17" s="9" t="s">
        <v>27</v>
      </c>
      <c r="B17" s="9">
        <v>15</v>
      </c>
      <c r="C17" s="8"/>
      <c r="D17" s="8" t="s">
        <v>15</v>
      </c>
    </row>
    <row r="18" spans="1:4" x14ac:dyDescent="0.2">
      <c r="A18" s="9" t="s">
        <v>27</v>
      </c>
      <c r="B18" s="9">
        <v>16</v>
      </c>
      <c r="C18" s="8"/>
      <c r="D18" s="8" t="s">
        <v>15</v>
      </c>
    </row>
    <row r="19" spans="1:4" x14ac:dyDescent="0.2">
      <c r="A19" s="9" t="s">
        <v>27</v>
      </c>
      <c r="B19" s="9">
        <v>17</v>
      </c>
      <c r="C19" s="8"/>
      <c r="D19" s="8" t="s">
        <v>15</v>
      </c>
    </row>
    <row r="20" spans="1:4" x14ac:dyDescent="0.2">
      <c r="A20" s="9" t="s">
        <v>27</v>
      </c>
      <c r="B20" s="9">
        <v>18</v>
      </c>
      <c r="C20" s="8"/>
      <c r="D20" s="8" t="s">
        <v>15</v>
      </c>
    </row>
    <row r="21" spans="1:4" x14ac:dyDescent="0.2">
      <c r="A21" s="9" t="s">
        <v>27</v>
      </c>
      <c r="B21" s="9">
        <v>19</v>
      </c>
      <c r="C21" s="8"/>
      <c r="D21" s="8" t="s">
        <v>15</v>
      </c>
    </row>
    <row r="22" spans="1:4" x14ac:dyDescent="0.2">
      <c r="A22" s="9" t="s">
        <v>27</v>
      </c>
      <c r="B22" s="9">
        <v>20</v>
      </c>
      <c r="C22" s="8"/>
      <c r="D22" s="8" t="s">
        <v>15</v>
      </c>
    </row>
    <row r="23" spans="1:4" x14ac:dyDescent="0.2">
      <c r="A23" s="9" t="s">
        <v>27</v>
      </c>
      <c r="B23" s="9">
        <v>21</v>
      </c>
      <c r="C23" s="8"/>
      <c r="D23" s="8" t="s">
        <v>15</v>
      </c>
    </row>
    <row r="24" spans="1:4" x14ac:dyDescent="0.2">
      <c r="A24" s="9" t="s">
        <v>27</v>
      </c>
      <c r="B24" s="9">
        <v>22</v>
      </c>
      <c r="C24" s="8"/>
      <c r="D24" s="8" t="s">
        <v>15</v>
      </c>
    </row>
    <row r="25" spans="1:4" x14ac:dyDescent="0.2">
      <c r="A25" s="9" t="s">
        <v>27</v>
      </c>
      <c r="B25" s="9">
        <v>23</v>
      </c>
      <c r="C25" s="8"/>
      <c r="D25" s="8" t="s">
        <v>15</v>
      </c>
    </row>
    <row r="26" spans="1:4" x14ac:dyDescent="0.2">
      <c r="A26" s="9" t="s">
        <v>27</v>
      </c>
      <c r="B26" s="9">
        <v>24</v>
      </c>
      <c r="C26" s="8"/>
      <c r="D26" s="8" t="s">
        <v>15</v>
      </c>
    </row>
    <row r="27" spans="1:4" x14ac:dyDescent="0.2">
      <c r="A27" s="9" t="s">
        <v>27</v>
      </c>
      <c r="B27" s="9">
        <v>25</v>
      </c>
      <c r="C27" s="8"/>
      <c r="D27" s="8" t="s">
        <v>15</v>
      </c>
    </row>
    <row r="28" spans="1:4" x14ac:dyDescent="0.2">
      <c r="A28" s="9" t="s">
        <v>27</v>
      </c>
      <c r="B28" s="9">
        <v>26</v>
      </c>
      <c r="C28" s="8"/>
      <c r="D28" s="8" t="s">
        <v>15</v>
      </c>
    </row>
    <row r="29" spans="1:4" x14ac:dyDescent="0.2">
      <c r="A29" s="9" t="s">
        <v>27</v>
      </c>
      <c r="B29" s="9">
        <v>27</v>
      </c>
      <c r="C29" s="8"/>
      <c r="D29" s="8" t="s">
        <v>15</v>
      </c>
    </row>
    <row r="30" spans="1:4" x14ac:dyDescent="0.2">
      <c r="A30" s="9" t="s">
        <v>27</v>
      </c>
      <c r="B30" s="9">
        <v>28</v>
      </c>
      <c r="C30" s="8"/>
      <c r="D30" s="8" t="s">
        <v>15</v>
      </c>
    </row>
    <row r="31" spans="1:4" x14ac:dyDescent="0.2">
      <c r="A31" s="9" t="s">
        <v>27</v>
      </c>
      <c r="B31" s="9">
        <v>29</v>
      </c>
      <c r="C31" s="8"/>
      <c r="D31" s="8" t="s">
        <v>15</v>
      </c>
    </row>
    <row r="32" spans="1:4" x14ac:dyDescent="0.2">
      <c r="A32" s="9" t="s">
        <v>27</v>
      </c>
      <c r="B32" s="9">
        <v>30</v>
      </c>
      <c r="C32" s="8"/>
      <c r="D32" s="8" t="s">
        <v>15</v>
      </c>
    </row>
    <row r="33" spans="1:4" x14ac:dyDescent="0.2">
      <c r="A33" s="9" t="s">
        <v>27</v>
      </c>
      <c r="B33" s="9">
        <v>31</v>
      </c>
      <c r="C33" s="8"/>
      <c r="D33" s="8" t="s">
        <v>15</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33"/>
  <sheetViews>
    <sheetView topLeftCell="A12" workbookViewId="0">
      <selection activeCell="G14" sqref="G14"/>
    </sheetView>
  </sheetViews>
  <sheetFormatPr baseColWidth="10" defaultColWidth="8.83203125" defaultRowHeight="15" x14ac:dyDescent="0.2"/>
  <cols>
    <col min="1" max="1" width="8.83203125" style="3"/>
    <col min="2" max="2" width="16.1640625" bestFit="1" customWidth="1"/>
    <col min="3" max="3" width="16.33203125" customWidth="1"/>
    <col min="4" max="4" width="16.1640625" bestFit="1" customWidth="1"/>
  </cols>
  <sheetData>
    <row r="1" spans="1:4" x14ac:dyDescent="0.2">
      <c r="A1" s="10" t="s">
        <v>1</v>
      </c>
      <c r="B1" s="8" t="s">
        <v>2</v>
      </c>
      <c r="C1" s="8" t="s">
        <v>0</v>
      </c>
      <c r="D1" s="8" t="s">
        <v>14</v>
      </c>
    </row>
    <row r="2" spans="1:4" x14ac:dyDescent="0.2">
      <c r="A2" s="10">
        <v>10</v>
      </c>
      <c r="B2" s="9" t="s">
        <v>28</v>
      </c>
      <c r="C2" s="8"/>
      <c r="D2" s="8" t="s">
        <v>15</v>
      </c>
    </row>
    <row r="3" spans="1:4" x14ac:dyDescent="0.2">
      <c r="A3" s="10">
        <v>10</v>
      </c>
      <c r="B3" s="9" t="s">
        <v>29</v>
      </c>
      <c r="C3" s="8"/>
      <c r="D3" s="8" t="s">
        <v>15</v>
      </c>
    </row>
    <row r="4" spans="1:4" x14ac:dyDescent="0.2">
      <c r="A4" s="10">
        <v>10</v>
      </c>
      <c r="B4" s="9" t="s">
        <v>30</v>
      </c>
      <c r="C4" s="8"/>
      <c r="D4" s="8" t="s">
        <v>15</v>
      </c>
    </row>
    <row r="5" spans="1:4" x14ac:dyDescent="0.2">
      <c r="A5" s="10">
        <v>10</v>
      </c>
      <c r="B5" s="9" t="s">
        <v>31</v>
      </c>
      <c r="C5" s="8"/>
      <c r="D5" s="8" t="s">
        <v>15</v>
      </c>
    </row>
    <row r="6" spans="1:4" x14ac:dyDescent="0.2">
      <c r="A6" s="10">
        <v>10</v>
      </c>
      <c r="B6" s="9" t="s">
        <v>32</v>
      </c>
      <c r="C6" s="8"/>
      <c r="D6" s="8" t="s">
        <v>15</v>
      </c>
    </row>
    <row r="7" spans="1:4" x14ac:dyDescent="0.2">
      <c r="A7" s="10">
        <v>10</v>
      </c>
      <c r="B7" s="9" t="s">
        <v>23</v>
      </c>
      <c r="C7" s="8"/>
      <c r="D7" s="8" t="s">
        <v>15</v>
      </c>
    </row>
    <row r="8" spans="1:4" x14ac:dyDescent="0.2">
      <c r="A8" s="10">
        <v>10</v>
      </c>
      <c r="B8" s="9" t="s">
        <v>24</v>
      </c>
      <c r="C8" s="8"/>
      <c r="D8" s="8" t="s">
        <v>15</v>
      </c>
    </row>
    <row r="9" spans="1:4" x14ac:dyDescent="0.2">
      <c r="A9" s="10">
        <v>10</v>
      </c>
      <c r="B9" s="9" t="s">
        <v>25</v>
      </c>
      <c r="C9" s="8"/>
      <c r="D9" s="8" t="s">
        <v>15</v>
      </c>
    </row>
    <row r="10" spans="1:4" x14ac:dyDescent="0.2">
      <c r="A10" s="10">
        <v>10</v>
      </c>
      <c r="B10" s="9" t="s">
        <v>26</v>
      </c>
      <c r="C10" s="8"/>
      <c r="D10" s="8" t="s">
        <v>15</v>
      </c>
    </row>
    <row r="11" spans="1:4" x14ac:dyDescent="0.2">
      <c r="A11" s="10">
        <v>10</v>
      </c>
      <c r="B11" s="9" t="s">
        <v>27</v>
      </c>
      <c r="C11" s="8"/>
      <c r="D11" s="8" t="s">
        <v>15</v>
      </c>
    </row>
    <row r="12" spans="1:4" x14ac:dyDescent="0.2">
      <c r="A12" s="10">
        <v>10</v>
      </c>
      <c r="B12" s="9">
        <v>10</v>
      </c>
      <c r="C12" s="8"/>
      <c r="D12" s="8" t="s">
        <v>15</v>
      </c>
    </row>
    <row r="13" spans="1:4" x14ac:dyDescent="0.2">
      <c r="A13" s="10">
        <v>10</v>
      </c>
      <c r="B13" s="9">
        <v>11</v>
      </c>
      <c r="C13" s="8"/>
      <c r="D13" s="8" t="s">
        <v>15</v>
      </c>
    </row>
    <row r="14" spans="1:4" x14ac:dyDescent="0.2">
      <c r="A14" s="10">
        <v>10</v>
      </c>
      <c r="B14" s="9">
        <v>12</v>
      </c>
      <c r="C14" s="8"/>
      <c r="D14" s="8" t="s">
        <v>15</v>
      </c>
    </row>
    <row r="15" spans="1:4" x14ac:dyDescent="0.2">
      <c r="A15" s="10">
        <v>10</v>
      </c>
      <c r="B15" s="9">
        <v>13</v>
      </c>
      <c r="C15" s="8"/>
      <c r="D15" s="8" t="s">
        <v>15</v>
      </c>
    </row>
    <row r="16" spans="1:4" x14ac:dyDescent="0.2">
      <c r="A16" s="10">
        <v>10</v>
      </c>
      <c r="B16" s="9">
        <v>14</v>
      </c>
      <c r="C16" s="8"/>
      <c r="D16" s="8" t="s">
        <v>15</v>
      </c>
    </row>
    <row r="17" spans="1:4" x14ac:dyDescent="0.2">
      <c r="A17" s="10">
        <v>10</v>
      </c>
      <c r="B17" s="9">
        <v>15</v>
      </c>
      <c r="C17" s="8"/>
      <c r="D17" s="8" t="s">
        <v>15</v>
      </c>
    </row>
    <row r="18" spans="1:4" x14ac:dyDescent="0.2">
      <c r="A18" s="10">
        <v>10</v>
      </c>
      <c r="B18" s="9">
        <v>16</v>
      </c>
      <c r="C18" s="8"/>
      <c r="D18" s="8" t="s">
        <v>15</v>
      </c>
    </row>
    <row r="19" spans="1:4" x14ac:dyDescent="0.2">
      <c r="A19" s="10">
        <v>10</v>
      </c>
      <c r="B19" s="9">
        <v>17</v>
      </c>
      <c r="C19" s="8"/>
      <c r="D19" s="8" t="s">
        <v>15</v>
      </c>
    </row>
    <row r="20" spans="1:4" x14ac:dyDescent="0.2">
      <c r="A20" s="10">
        <v>10</v>
      </c>
      <c r="B20" s="9">
        <v>18</v>
      </c>
      <c r="C20" s="8"/>
      <c r="D20" s="8" t="s">
        <v>15</v>
      </c>
    </row>
    <row r="21" spans="1:4" x14ac:dyDescent="0.2">
      <c r="A21" s="10">
        <v>10</v>
      </c>
      <c r="B21" s="9">
        <v>19</v>
      </c>
      <c r="C21" s="8"/>
      <c r="D21" s="8" t="s">
        <v>33</v>
      </c>
    </row>
    <row r="22" spans="1:4" x14ac:dyDescent="0.2">
      <c r="A22" s="10">
        <v>10</v>
      </c>
      <c r="B22" s="9">
        <v>20</v>
      </c>
      <c r="C22" s="8"/>
      <c r="D22" s="8" t="s">
        <v>33</v>
      </c>
    </row>
    <row r="23" spans="1:4" x14ac:dyDescent="0.2">
      <c r="A23" s="10">
        <v>10</v>
      </c>
      <c r="B23" s="9">
        <v>21</v>
      </c>
      <c r="C23" s="8"/>
      <c r="D23" s="8" t="s">
        <v>33</v>
      </c>
    </row>
    <row r="24" spans="1:4" x14ac:dyDescent="0.2">
      <c r="A24" s="10">
        <v>10</v>
      </c>
      <c r="B24" s="9">
        <v>22</v>
      </c>
      <c r="C24" s="8"/>
      <c r="D24" s="8" t="s">
        <v>33</v>
      </c>
    </row>
    <row r="25" spans="1:4" x14ac:dyDescent="0.2">
      <c r="A25" s="10">
        <v>10</v>
      </c>
      <c r="B25" s="9">
        <v>23</v>
      </c>
      <c r="C25" s="8"/>
      <c r="D25" s="8" t="s">
        <v>33</v>
      </c>
    </row>
    <row r="26" spans="1:4" x14ac:dyDescent="0.2">
      <c r="A26" s="10">
        <v>10</v>
      </c>
      <c r="B26" s="9">
        <v>24</v>
      </c>
      <c r="C26" s="8"/>
      <c r="D26" s="8" t="s">
        <v>33</v>
      </c>
    </row>
    <row r="27" spans="1:4" x14ac:dyDescent="0.2">
      <c r="A27" s="10">
        <v>10</v>
      </c>
      <c r="B27" s="9">
        <v>25</v>
      </c>
      <c r="C27" s="8"/>
      <c r="D27" s="8" t="s">
        <v>33</v>
      </c>
    </row>
    <row r="28" spans="1:4" x14ac:dyDescent="0.2">
      <c r="A28" s="10">
        <v>10</v>
      </c>
      <c r="B28" s="9">
        <v>26</v>
      </c>
      <c r="C28" s="8"/>
      <c r="D28" s="8" t="s">
        <v>33</v>
      </c>
    </row>
    <row r="29" spans="1:4" x14ac:dyDescent="0.2">
      <c r="A29" s="10">
        <v>10</v>
      </c>
      <c r="B29" s="9">
        <v>27</v>
      </c>
      <c r="C29" s="8"/>
      <c r="D29" s="8" t="s">
        <v>33</v>
      </c>
    </row>
    <row r="30" spans="1:4" x14ac:dyDescent="0.2">
      <c r="A30" s="10">
        <v>10</v>
      </c>
      <c r="B30" s="9">
        <v>28</v>
      </c>
      <c r="C30" s="8"/>
      <c r="D30" s="8" t="s">
        <v>33</v>
      </c>
    </row>
    <row r="31" spans="1:4" x14ac:dyDescent="0.2">
      <c r="A31" s="10">
        <v>10</v>
      </c>
      <c r="B31" s="9">
        <v>29</v>
      </c>
      <c r="C31" s="8"/>
      <c r="D31" s="8" t="s">
        <v>33</v>
      </c>
    </row>
    <row r="32" spans="1:4" x14ac:dyDescent="0.2">
      <c r="A32" s="10">
        <v>10</v>
      </c>
      <c r="B32" s="9">
        <v>30</v>
      </c>
      <c r="C32" s="8"/>
      <c r="D32" s="8" t="s">
        <v>33</v>
      </c>
    </row>
    <row r="33" spans="1:4" x14ac:dyDescent="0.2">
      <c r="A33" s="10">
        <v>10</v>
      </c>
      <c r="B33" s="9">
        <v>31</v>
      </c>
      <c r="C33" s="8"/>
      <c r="D33" s="8" t="s">
        <v>159</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Functions'!$A$2:$A$8</xm:f>
          </x14:formula1>
          <xm:sqref>D2:D33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D33"/>
  <sheetViews>
    <sheetView workbookViewId="0">
      <selection activeCell="G11" sqref="G11"/>
    </sheetView>
  </sheetViews>
  <sheetFormatPr baseColWidth="10" defaultColWidth="8.83203125" defaultRowHeight="15" x14ac:dyDescent="0.2"/>
  <cols>
    <col min="1" max="1" width="8.83203125" style="3"/>
    <col min="2" max="2" width="16.1640625" bestFit="1" customWidth="1"/>
    <col min="3" max="3" width="16.33203125" customWidth="1"/>
    <col min="4" max="4" width="16.1640625" bestFit="1" customWidth="1"/>
  </cols>
  <sheetData>
    <row r="1" spans="1:4" x14ac:dyDescent="0.2">
      <c r="A1" s="10" t="s">
        <v>1</v>
      </c>
      <c r="B1" s="8" t="s">
        <v>2</v>
      </c>
      <c r="C1" s="8" t="s">
        <v>0</v>
      </c>
      <c r="D1" s="8" t="s">
        <v>14</v>
      </c>
    </row>
    <row r="2" spans="1:4" x14ac:dyDescent="0.2">
      <c r="A2" s="10">
        <v>11</v>
      </c>
      <c r="B2" s="9" t="s">
        <v>28</v>
      </c>
      <c r="C2" s="8"/>
      <c r="D2" s="8" t="s">
        <v>16</v>
      </c>
    </row>
    <row r="3" spans="1:4" x14ac:dyDescent="0.2">
      <c r="A3" s="10">
        <v>11</v>
      </c>
      <c r="B3" s="9" t="s">
        <v>29</v>
      </c>
      <c r="C3" s="8"/>
      <c r="D3" s="8" t="s">
        <v>16</v>
      </c>
    </row>
    <row r="4" spans="1:4" x14ac:dyDescent="0.2">
      <c r="A4" s="10">
        <v>11</v>
      </c>
      <c r="B4" s="9" t="s">
        <v>30</v>
      </c>
      <c r="C4" s="8"/>
      <c r="D4" s="8" t="s">
        <v>16</v>
      </c>
    </row>
    <row r="5" spans="1:4" x14ac:dyDescent="0.2">
      <c r="A5" s="10">
        <v>11</v>
      </c>
      <c r="B5" s="9" t="s">
        <v>31</v>
      </c>
      <c r="C5" s="8"/>
      <c r="D5" s="8" t="s">
        <v>16</v>
      </c>
    </row>
    <row r="6" spans="1:4" x14ac:dyDescent="0.2">
      <c r="A6" s="10">
        <v>11</v>
      </c>
      <c r="B6" s="9" t="s">
        <v>32</v>
      </c>
      <c r="C6" s="8"/>
      <c r="D6" s="8" t="s">
        <v>16</v>
      </c>
    </row>
    <row r="7" spans="1:4" x14ac:dyDescent="0.2">
      <c r="A7" s="10">
        <v>11</v>
      </c>
      <c r="B7" s="9" t="s">
        <v>23</v>
      </c>
      <c r="C7" s="8"/>
      <c r="D7" s="8" t="s">
        <v>16</v>
      </c>
    </row>
    <row r="8" spans="1:4" x14ac:dyDescent="0.2">
      <c r="A8" s="10">
        <v>11</v>
      </c>
      <c r="B8" s="9" t="s">
        <v>24</v>
      </c>
      <c r="C8" s="8"/>
      <c r="D8" s="8" t="s">
        <v>16</v>
      </c>
    </row>
    <row r="9" spans="1:4" x14ac:dyDescent="0.2">
      <c r="A9" s="10">
        <v>11</v>
      </c>
      <c r="B9" s="9" t="s">
        <v>25</v>
      </c>
      <c r="C9" s="8"/>
      <c r="D9" s="8" t="s">
        <v>16</v>
      </c>
    </row>
    <row r="10" spans="1:4" x14ac:dyDescent="0.2">
      <c r="A10" s="10">
        <v>11</v>
      </c>
      <c r="B10" s="9" t="s">
        <v>26</v>
      </c>
      <c r="C10" s="8"/>
      <c r="D10" s="8" t="s">
        <v>16</v>
      </c>
    </row>
    <row r="11" spans="1:4" x14ac:dyDescent="0.2">
      <c r="A11" s="10">
        <v>11</v>
      </c>
      <c r="B11" s="9" t="s">
        <v>27</v>
      </c>
      <c r="C11" s="8"/>
      <c r="D11" s="8" t="s">
        <v>16</v>
      </c>
    </row>
    <row r="12" spans="1:4" x14ac:dyDescent="0.2">
      <c r="A12" s="10">
        <v>11</v>
      </c>
      <c r="B12" s="9">
        <v>10</v>
      </c>
      <c r="C12" s="8"/>
      <c r="D12" s="8" t="s">
        <v>16</v>
      </c>
    </row>
    <row r="13" spans="1:4" x14ac:dyDescent="0.2">
      <c r="A13" s="10">
        <v>11</v>
      </c>
      <c r="B13" s="9">
        <v>11</v>
      </c>
      <c r="C13" s="8"/>
      <c r="D13" s="8" t="s">
        <v>16</v>
      </c>
    </row>
    <row r="14" spans="1:4" x14ac:dyDescent="0.2">
      <c r="A14" s="10">
        <v>11</v>
      </c>
      <c r="B14" s="9">
        <v>12</v>
      </c>
      <c r="C14" s="8"/>
      <c r="D14" s="8" t="s">
        <v>16</v>
      </c>
    </row>
    <row r="15" spans="1:4" x14ac:dyDescent="0.2">
      <c r="A15" s="10">
        <v>11</v>
      </c>
      <c r="B15" s="9">
        <v>13</v>
      </c>
      <c r="C15" s="8"/>
      <c r="D15" s="8" t="s">
        <v>16</v>
      </c>
    </row>
    <row r="16" spans="1:4" x14ac:dyDescent="0.2">
      <c r="A16" s="10">
        <v>11</v>
      </c>
      <c r="B16" s="9">
        <v>14</v>
      </c>
      <c r="C16" s="8"/>
      <c r="D16" s="8" t="s">
        <v>16</v>
      </c>
    </row>
    <row r="17" spans="1:4" x14ac:dyDescent="0.2">
      <c r="A17" s="10">
        <v>11</v>
      </c>
      <c r="B17" s="9">
        <v>15</v>
      </c>
      <c r="C17" s="8"/>
      <c r="D17" s="8" t="s">
        <v>16</v>
      </c>
    </row>
    <row r="18" spans="1:4" x14ac:dyDescent="0.2">
      <c r="A18" s="10">
        <v>11</v>
      </c>
      <c r="B18" s="9">
        <v>16</v>
      </c>
      <c r="C18" s="8"/>
      <c r="D18" s="8" t="s">
        <v>16</v>
      </c>
    </row>
    <row r="19" spans="1:4" x14ac:dyDescent="0.2">
      <c r="A19" s="10">
        <v>11</v>
      </c>
      <c r="B19" s="9">
        <v>17</v>
      </c>
      <c r="C19" s="8"/>
      <c r="D19" s="8" t="s">
        <v>16</v>
      </c>
    </row>
    <row r="20" spans="1:4" x14ac:dyDescent="0.2">
      <c r="A20" s="10">
        <v>11</v>
      </c>
      <c r="B20" s="9">
        <v>18</v>
      </c>
      <c r="C20" s="8"/>
      <c r="D20" s="8" t="s">
        <v>16</v>
      </c>
    </row>
    <row r="21" spans="1:4" x14ac:dyDescent="0.2">
      <c r="A21" s="10">
        <v>11</v>
      </c>
      <c r="B21" s="9">
        <v>19</v>
      </c>
      <c r="C21" s="8"/>
      <c r="D21" s="8" t="s">
        <v>16</v>
      </c>
    </row>
    <row r="22" spans="1:4" x14ac:dyDescent="0.2">
      <c r="A22" s="10">
        <v>11</v>
      </c>
      <c r="B22" s="9">
        <v>20</v>
      </c>
      <c r="C22" s="8"/>
      <c r="D22" s="8" t="s">
        <v>16</v>
      </c>
    </row>
    <row r="23" spans="1:4" x14ac:dyDescent="0.2">
      <c r="A23" s="10">
        <v>11</v>
      </c>
      <c r="B23" s="9">
        <v>21</v>
      </c>
      <c r="C23" s="8"/>
      <c r="D23" s="8" t="s">
        <v>16</v>
      </c>
    </row>
    <row r="24" spans="1:4" x14ac:dyDescent="0.2">
      <c r="A24" s="10">
        <v>11</v>
      </c>
      <c r="B24" s="9">
        <v>22</v>
      </c>
      <c r="C24" s="8"/>
      <c r="D24" s="8" t="s">
        <v>16</v>
      </c>
    </row>
    <row r="25" spans="1:4" x14ac:dyDescent="0.2">
      <c r="A25" s="10">
        <v>11</v>
      </c>
      <c r="B25" s="9">
        <v>23</v>
      </c>
      <c r="C25" s="8"/>
      <c r="D25" s="8" t="s">
        <v>16</v>
      </c>
    </row>
    <row r="26" spans="1:4" x14ac:dyDescent="0.2">
      <c r="A26" s="10">
        <v>11</v>
      </c>
      <c r="B26" s="9">
        <v>24</v>
      </c>
      <c r="C26" s="8"/>
      <c r="D26" s="8" t="s">
        <v>16</v>
      </c>
    </row>
    <row r="27" spans="1:4" x14ac:dyDescent="0.2">
      <c r="A27" s="10">
        <v>11</v>
      </c>
      <c r="B27" s="9">
        <v>25</v>
      </c>
      <c r="C27" s="8"/>
      <c r="D27" s="8" t="s">
        <v>16</v>
      </c>
    </row>
    <row r="28" spans="1:4" x14ac:dyDescent="0.2">
      <c r="A28" s="10">
        <v>11</v>
      </c>
      <c r="B28" s="9">
        <v>26</v>
      </c>
      <c r="C28" s="8"/>
      <c r="D28" s="8" t="s">
        <v>16</v>
      </c>
    </row>
    <row r="29" spans="1:4" x14ac:dyDescent="0.2">
      <c r="A29" s="10">
        <v>11</v>
      </c>
      <c r="B29" s="9">
        <v>27</v>
      </c>
      <c r="C29" s="8"/>
      <c r="D29" s="8" t="s">
        <v>16</v>
      </c>
    </row>
    <row r="30" spans="1:4" x14ac:dyDescent="0.2">
      <c r="A30" s="10">
        <v>11</v>
      </c>
      <c r="B30" s="9">
        <v>28</v>
      </c>
      <c r="C30" s="8"/>
      <c r="D30" s="8" t="s">
        <v>16</v>
      </c>
    </row>
    <row r="31" spans="1:4" x14ac:dyDescent="0.2">
      <c r="A31" s="10">
        <v>11</v>
      </c>
      <c r="B31" s="9">
        <v>29</v>
      </c>
      <c r="C31" s="8"/>
      <c r="D31" s="8" t="s">
        <v>16</v>
      </c>
    </row>
    <row r="32" spans="1:4" x14ac:dyDescent="0.2">
      <c r="A32" s="10">
        <v>11</v>
      </c>
      <c r="B32" s="9">
        <v>30</v>
      </c>
      <c r="C32" s="8"/>
      <c r="D32" s="8" t="s">
        <v>16</v>
      </c>
    </row>
    <row r="33" spans="1:4" x14ac:dyDescent="0.2">
      <c r="A33" s="10">
        <v>11</v>
      </c>
      <c r="B33" s="9">
        <v>31</v>
      </c>
      <c r="C33" s="8"/>
      <c r="D33" s="8" t="s">
        <v>16</v>
      </c>
    </row>
  </sheetData>
  <pageMargins left="0.7" right="0.7" top="0.75" bottom="0.75" header="0.3" footer="0.3"/>
  <pageSetup scale="140"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'Channel Functions'!$A$2:$A$4</xm:f>
          </x14:formula1>
          <xm:sqref>D2:D33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33"/>
  <sheetViews>
    <sheetView workbookViewId="0">
      <selection activeCell="E13" sqref="E13"/>
    </sheetView>
  </sheetViews>
  <sheetFormatPr baseColWidth="10" defaultColWidth="8.83203125" defaultRowHeight="15" x14ac:dyDescent="0.2"/>
  <cols>
    <col min="1" max="1" width="8.83203125" style="3"/>
    <col min="2" max="2" width="16.1640625" bestFit="1" customWidth="1"/>
    <col min="3" max="4" width="16.33203125" customWidth="1"/>
  </cols>
  <sheetData>
    <row r="1" spans="1:4" x14ac:dyDescent="0.2">
      <c r="A1" s="10" t="s">
        <v>1</v>
      </c>
      <c r="B1" s="8" t="s">
        <v>2</v>
      </c>
      <c r="C1" s="8" t="s">
        <v>0</v>
      </c>
      <c r="D1" s="8" t="s">
        <v>14</v>
      </c>
    </row>
    <row r="2" spans="1:4" x14ac:dyDescent="0.2">
      <c r="A2" s="10">
        <v>12</v>
      </c>
      <c r="B2" s="9" t="s">
        <v>28</v>
      </c>
      <c r="C2" s="8" t="s">
        <v>144</v>
      </c>
      <c r="D2" s="8" t="s">
        <v>16</v>
      </c>
    </row>
    <row r="3" spans="1:4" x14ac:dyDescent="0.2">
      <c r="A3" s="10">
        <v>12</v>
      </c>
      <c r="B3" s="9" t="s">
        <v>29</v>
      </c>
      <c r="C3" s="8" t="s">
        <v>145</v>
      </c>
      <c r="D3" s="8" t="s">
        <v>16</v>
      </c>
    </row>
    <row r="4" spans="1:4" x14ac:dyDescent="0.2">
      <c r="A4" s="10">
        <v>12</v>
      </c>
      <c r="B4" s="9" t="s">
        <v>30</v>
      </c>
      <c r="C4" s="8" t="s">
        <v>146</v>
      </c>
      <c r="D4" s="8" t="s">
        <v>16</v>
      </c>
    </row>
    <row r="5" spans="1:4" x14ac:dyDescent="0.2">
      <c r="A5" s="10">
        <v>12</v>
      </c>
      <c r="B5" s="9" t="s">
        <v>31</v>
      </c>
      <c r="C5" s="8" t="s">
        <v>147</v>
      </c>
      <c r="D5" s="8" t="s">
        <v>16</v>
      </c>
    </row>
    <row r="6" spans="1:4" x14ac:dyDescent="0.2">
      <c r="A6" s="10">
        <v>12</v>
      </c>
      <c r="B6" s="9" t="s">
        <v>32</v>
      </c>
      <c r="C6" s="8" t="s">
        <v>148</v>
      </c>
      <c r="D6" s="8" t="s">
        <v>16</v>
      </c>
    </row>
    <row r="7" spans="1:4" x14ac:dyDescent="0.2">
      <c r="A7" s="10">
        <v>12</v>
      </c>
      <c r="B7" s="9" t="s">
        <v>23</v>
      </c>
      <c r="C7" s="8"/>
      <c r="D7" s="8" t="s">
        <v>16</v>
      </c>
    </row>
    <row r="8" spans="1:4" x14ac:dyDescent="0.2">
      <c r="A8" s="10">
        <v>12</v>
      </c>
      <c r="B8" s="9" t="s">
        <v>24</v>
      </c>
      <c r="C8" s="8" t="s">
        <v>112</v>
      </c>
      <c r="D8" s="8" t="s">
        <v>16</v>
      </c>
    </row>
    <row r="9" spans="1:4" x14ac:dyDescent="0.2">
      <c r="A9" s="10">
        <v>12</v>
      </c>
      <c r="B9" s="9" t="s">
        <v>25</v>
      </c>
      <c r="C9" s="8" t="s">
        <v>113</v>
      </c>
      <c r="D9" s="8" t="s">
        <v>16</v>
      </c>
    </row>
    <row r="10" spans="1:4" x14ac:dyDescent="0.2">
      <c r="A10" s="10">
        <v>12</v>
      </c>
      <c r="B10" s="9" t="s">
        <v>26</v>
      </c>
      <c r="C10" s="8" t="s">
        <v>114</v>
      </c>
      <c r="D10" s="8" t="s">
        <v>16</v>
      </c>
    </row>
    <row r="11" spans="1:4" x14ac:dyDescent="0.2">
      <c r="A11" s="10">
        <v>12</v>
      </c>
      <c r="B11" s="9" t="s">
        <v>27</v>
      </c>
      <c r="C11" s="8" t="s">
        <v>115</v>
      </c>
      <c r="D11" s="8" t="s">
        <v>16</v>
      </c>
    </row>
    <row r="12" spans="1:4" x14ac:dyDescent="0.2">
      <c r="A12" s="10">
        <v>12</v>
      </c>
      <c r="B12" s="9">
        <v>10</v>
      </c>
      <c r="C12" s="8" t="s">
        <v>116</v>
      </c>
      <c r="D12" s="8" t="s">
        <v>16</v>
      </c>
    </row>
    <row r="13" spans="1:4" x14ac:dyDescent="0.2">
      <c r="A13" s="10">
        <v>12</v>
      </c>
      <c r="B13" s="9">
        <v>11</v>
      </c>
      <c r="C13" s="8"/>
      <c r="D13" s="8" t="s">
        <v>16</v>
      </c>
    </row>
    <row r="14" spans="1:4" x14ac:dyDescent="0.2">
      <c r="A14" s="10">
        <v>12</v>
      </c>
      <c r="B14" s="9">
        <v>12</v>
      </c>
      <c r="C14" s="8" t="s">
        <v>117</v>
      </c>
      <c r="D14" s="8" t="s">
        <v>16</v>
      </c>
    </row>
    <row r="15" spans="1:4" x14ac:dyDescent="0.2">
      <c r="A15" s="10">
        <v>12</v>
      </c>
      <c r="B15" s="9">
        <v>13</v>
      </c>
      <c r="C15" s="8" t="s">
        <v>118</v>
      </c>
      <c r="D15" s="8" t="s">
        <v>16</v>
      </c>
    </row>
    <row r="16" spans="1:4" x14ac:dyDescent="0.2">
      <c r="A16" s="10">
        <v>12</v>
      </c>
      <c r="B16" s="9">
        <v>14</v>
      </c>
      <c r="C16" s="8" t="s">
        <v>119</v>
      </c>
      <c r="D16" s="8" t="s">
        <v>16</v>
      </c>
    </row>
    <row r="17" spans="1:4" x14ac:dyDescent="0.2">
      <c r="A17" s="10">
        <v>12</v>
      </c>
      <c r="B17" s="9">
        <v>15</v>
      </c>
      <c r="C17" s="8" t="s">
        <v>120</v>
      </c>
      <c r="D17" s="8" t="s">
        <v>16</v>
      </c>
    </row>
    <row r="18" spans="1:4" x14ac:dyDescent="0.2">
      <c r="A18" s="10">
        <v>12</v>
      </c>
      <c r="B18" s="9">
        <v>16</v>
      </c>
      <c r="C18" s="8" t="s">
        <v>121</v>
      </c>
      <c r="D18" s="8" t="s">
        <v>16</v>
      </c>
    </row>
    <row r="19" spans="1:4" x14ac:dyDescent="0.2">
      <c r="A19" s="10">
        <v>12</v>
      </c>
      <c r="B19" s="9">
        <v>17</v>
      </c>
      <c r="C19" s="8"/>
      <c r="D19" s="8" t="s">
        <v>16</v>
      </c>
    </row>
    <row r="20" spans="1:4" x14ac:dyDescent="0.2">
      <c r="A20" s="10">
        <v>12</v>
      </c>
      <c r="B20" s="9">
        <v>18</v>
      </c>
      <c r="C20" s="8" t="s">
        <v>122</v>
      </c>
      <c r="D20" s="8" t="s">
        <v>16</v>
      </c>
    </row>
    <row r="21" spans="1:4" x14ac:dyDescent="0.2">
      <c r="A21" s="10">
        <v>12</v>
      </c>
      <c r="B21" s="9">
        <v>19</v>
      </c>
      <c r="C21" s="8" t="s">
        <v>123</v>
      </c>
      <c r="D21" s="8" t="s">
        <v>16</v>
      </c>
    </row>
    <row r="22" spans="1:4" x14ac:dyDescent="0.2">
      <c r="A22" s="10">
        <v>12</v>
      </c>
      <c r="B22" s="9">
        <v>20</v>
      </c>
      <c r="C22" s="8" t="s">
        <v>124</v>
      </c>
      <c r="D22" s="8" t="s">
        <v>16</v>
      </c>
    </row>
    <row r="23" spans="1:4" x14ac:dyDescent="0.2">
      <c r="A23" s="10">
        <v>12</v>
      </c>
      <c r="B23" s="9">
        <v>21</v>
      </c>
      <c r="C23" s="8" t="s">
        <v>125</v>
      </c>
      <c r="D23" s="8" t="s">
        <v>16</v>
      </c>
    </row>
    <row r="24" spans="1:4" x14ac:dyDescent="0.2">
      <c r="A24" s="10">
        <v>12</v>
      </c>
      <c r="B24" s="9">
        <v>22</v>
      </c>
      <c r="C24" s="8" t="s">
        <v>126</v>
      </c>
      <c r="D24" s="8" t="s">
        <v>16</v>
      </c>
    </row>
    <row r="25" spans="1:4" x14ac:dyDescent="0.2">
      <c r="A25" s="10">
        <v>12</v>
      </c>
      <c r="B25" s="9">
        <v>23</v>
      </c>
      <c r="C25" s="8"/>
      <c r="D25" s="8" t="s">
        <v>16</v>
      </c>
    </row>
    <row r="26" spans="1:4" x14ac:dyDescent="0.2">
      <c r="A26" s="10">
        <v>12</v>
      </c>
      <c r="B26" s="9">
        <v>24</v>
      </c>
      <c r="C26" s="8" t="s">
        <v>157</v>
      </c>
      <c r="D26" s="8" t="s">
        <v>16</v>
      </c>
    </row>
    <row r="27" spans="1:4" x14ac:dyDescent="0.2">
      <c r="A27" s="10">
        <v>12</v>
      </c>
      <c r="B27" s="9">
        <v>25</v>
      </c>
      <c r="C27" s="8" t="s">
        <v>171</v>
      </c>
      <c r="D27" s="8" t="s">
        <v>16</v>
      </c>
    </row>
    <row r="28" spans="1:4" x14ac:dyDescent="0.2">
      <c r="A28" s="10">
        <v>12</v>
      </c>
      <c r="B28" s="9">
        <v>26</v>
      </c>
      <c r="C28" s="8" t="s">
        <v>158</v>
      </c>
      <c r="D28" s="8" t="s">
        <v>16</v>
      </c>
    </row>
    <row r="29" spans="1:4" x14ac:dyDescent="0.2">
      <c r="A29" s="10">
        <v>12</v>
      </c>
      <c r="B29" s="9">
        <v>27</v>
      </c>
      <c r="C29" s="8"/>
      <c r="D29" s="8" t="s">
        <v>16</v>
      </c>
    </row>
    <row r="30" spans="1:4" x14ac:dyDescent="0.2">
      <c r="A30" s="10">
        <v>12</v>
      </c>
      <c r="B30" s="9">
        <v>28</v>
      </c>
      <c r="C30" s="8" t="s">
        <v>172</v>
      </c>
      <c r="D30" s="8" t="s">
        <v>16</v>
      </c>
    </row>
    <row r="31" spans="1:4" x14ac:dyDescent="0.2">
      <c r="A31" s="10">
        <v>12</v>
      </c>
      <c r="B31" s="9">
        <v>29</v>
      </c>
      <c r="C31" s="8" t="s">
        <v>173</v>
      </c>
      <c r="D31" s="8" t="s">
        <v>16</v>
      </c>
    </row>
    <row r="32" spans="1:4" x14ac:dyDescent="0.2">
      <c r="A32" s="10">
        <v>12</v>
      </c>
      <c r="B32" s="9">
        <v>30</v>
      </c>
      <c r="C32" s="8" t="s">
        <v>174</v>
      </c>
      <c r="D32" s="8" t="s">
        <v>16</v>
      </c>
    </row>
    <row r="33" spans="1:4" x14ac:dyDescent="0.2">
      <c r="A33" s="10">
        <v>12</v>
      </c>
      <c r="B33" s="9">
        <v>31</v>
      </c>
      <c r="C33" s="8"/>
      <c r="D33" s="8" t="s">
        <v>16</v>
      </c>
    </row>
  </sheetData>
  <pageMargins left="0.7" right="0.7" top="0.75" bottom="0.75" header="0.3" footer="0.3"/>
  <pageSetup scale="140"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'Channel Functions'!$A$2:$A$4</xm:f>
          </x14:formula1>
          <xm:sqref>D2:D13</xm:sqref>
        </x14:dataValidation>
        <x14:dataValidation type="list" allowBlank="1" showInputMessage="1" showErrorMessage="1">
          <x14:formula1>
            <xm:f>'Channel Functions'!$A$2:$A$6</xm:f>
          </x14:formula1>
          <xm:sqref>D29:D33</xm:sqref>
        </x14:dataValidation>
        <x14:dataValidation type="list" allowBlank="1" showInputMessage="1" showErrorMessage="1">
          <x14:formula1>
            <xm:f>'Channel Functions'!$A$2:$A$7</xm:f>
          </x14:formula1>
          <xm:sqref>D14:D28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2:J26"/>
  <sheetViews>
    <sheetView topLeftCell="A8" workbookViewId="0">
      <selection activeCell="J1" sqref="J1"/>
    </sheetView>
  </sheetViews>
  <sheetFormatPr baseColWidth="10" defaultColWidth="8.83203125" defaultRowHeight="15" x14ac:dyDescent="0.2"/>
  <cols>
    <col min="9" max="9" width="10.1640625" bestFit="1" customWidth="1"/>
  </cols>
  <sheetData>
    <row r="2" spans="1:10" x14ac:dyDescent="0.2">
      <c r="A2" s="11" t="s">
        <v>153</v>
      </c>
      <c r="B2" s="11"/>
      <c r="C2" s="11"/>
      <c r="D2" s="11"/>
      <c r="E2" s="11"/>
      <c r="F2" s="11"/>
      <c r="G2" s="11"/>
      <c r="H2" s="11"/>
      <c r="I2" s="10" t="s">
        <v>128</v>
      </c>
      <c r="J2" s="10" t="s">
        <v>154</v>
      </c>
    </row>
    <row r="3" spans="1:10" x14ac:dyDescent="0.2">
      <c r="A3" s="11"/>
      <c r="B3" s="11"/>
      <c r="C3" s="11"/>
      <c r="D3" s="11"/>
      <c r="E3" s="11"/>
      <c r="F3" s="11"/>
      <c r="G3" s="11"/>
      <c r="H3" s="11"/>
      <c r="I3" s="10">
        <v>1</v>
      </c>
      <c r="J3" s="10" t="s">
        <v>76</v>
      </c>
    </row>
    <row r="4" spans="1:10" x14ac:dyDescent="0.2">
      <c r="A4" s="11"/>
      <c r="B4" s="11"/>
      <c r="C4" s="11"/>
      <c r="D4" s="11"/>
      <c r="E4" s="11"/>
      <c r="F4" s="11"/>
      <c r="G4" s="11"/>
      <c r="H4" s="11"/>
      <c r="I4" s="10">
        <v>2</v>
      </c>
      <c r="J4" s="10" t="s">
        <v>165</v>
      </c>
    </row>
    <row r="5" spans="1:10" x14ac:dyDescent="0.2">
      <c r="A5" s="11"/>
      <c r="B5" s="11"/>
      <c r="C5" s="11"/>
      <c r="D5" s="11"/>
      <c r="E5" s="11"/>
      <c r="F5" s="11"/>
      <c r="G5" s="11"/>
      <c r="H5" s="11"/>
      <c r="I5" s="10">
        <v>3</v>
      </c>
      <c r="J5" s="10" t="s">
        <v>77</v>
      </c>
    </row>
    <row r="6" spans="1:10" x14ac:dyDescent="0.2">
      <c r="A6" s="11"/>
      <c r="B6" s="11"/>
      <c r="C6" s="11"/>
      <c r="D6" s="11"/>
      <c r="E6" s="11"/>
      <c r="F6" s="11"/>
      <c r="G6" s="11"/>
      <c r="H6" s="11"/>
      <c r="I6" s="10">
        <v>4</v>
      </c>
      <c r="J6" s="10" t="s">
        <v>166</v>
      </c>
    </row>
    <row r="7" spans="1:10" x14ac:dyDescent="0.2">
      <c r="A7" s="11"/>
      <c r="B7" s="11"/>
      <c r="C7" s="11"/>
      <c r="D7" s="11"/>
      <c r="E7" s="11"/>
      <c r="F7" s="11"/>
      <c r="G7" s="11"/>
      <c r="H7" s="11"/>
      <c r="I7" s="10">
        <v>5</v>
      </c>
      <c r="J7" s="10" t="s">
        <v>78</v>
      </c>
    </row>
    <row r="8" spans="1:10" x14ac:dyDescent="0.2">
      <c r="A8" s="11"/>
      <c r="B8" s="11"/>
      <c r="C8" s="11"/>
      <c r="D8" s="11"/>
      <c r="E8" s="11"/>
      <c r="F8" s="11"/>
      <c r="G8" s="11"/>
      <c r="H8" s="11"/>
      <c r="I8" s="10">
        <v>6</v>
      </c>
      <c r="J8" s="10" t="s">
        <v>167</v>
      </c>
    </row>
    <row r="9" spans="1:10" x14ac:dyDescent="0.2">
      <c r="A9" s="11"/>
      <c r="B9" s="11"/>
      <c r="C9" s="11"/>
      <c r="D9" s="11"/>
      <c r="E9" s="11"/>
      <c r="F9" s="11"/>
      <c r="G9" s="11"/>
      <c r="H9" s="11"/>
      <c r="I9" s="10">
        <v>7</v>
      </c>
      <c r="J9" s="10"/>
    </row>
    <row r="10" spans="1:10" x14ac:dyDescent="0.2">
      <c r="A10" s="11"/>
      <c r="B10" s="11"/>
      <c r="C10" s="11"/>
      <c r="D10" s="11"/>
      <c r="E10" s="11"/>
      <c r="F10" s="11"/>
      <c r="G10" s="11"/>
      <c r="H10" s="11"/>
      <c r="I10" s="10">
        <v>8</v>
      </c>
      <c r="J10" s="10" t="s">
        <v>80</v>
      </c>
    </row>
    <row r="11" spans="1:10" x14ac:dyDescent="0.2">
      <c r="A11" s="11"/>
      <c r="B11" s="11"/>
      <c r="C11" s="11"/>
      <c r="D11" s="11"/>
      <c r="E11" s="11"/>
      <c r="F11" s="11"/>
      <c r="G11" s="11"/>
      <c r="H11" s="11"/>
      <c r="I11" s="10">
        <v>9</v>
      </c>
      <c r="J11" s="10" t="s">
        <v>168</v>
      </c>
    </row>
    <row r="12" spans="1:10" x14ac:dyDescent="0.2">
      <c r="A12" s="11"/>
      <c r="B12" s="11"/>
      <c r="C12" s="11"/>
      <c r="D12" s="11"/>
      <c r="E12" s="11"/>
      <c r="F12" s="11"/>
      <c r="G12" s="11"/>
      <c r="H12" s="11"/>
      <c r="I12" s="10">
        <v>10</v>
      </c>
      <c r="J12" s="10" t="s">
        <v>81</v>
      </c>
    </row>
    <row r="13" spans="1:10" x14ac:dyDescent="0.2">
      <c r="A13" s="11"/>
      <c r="B13" s="11"/>
      <c r="C13" s="11"/>
      <c r="D13" s="11"/>
      <c r="E13" s="11"/>
      <c r="F13" s="11"/>
      <c r="G13" s="11"/>
      <c r="H13" s="11"/>
      <c r="I13" s="10">
        <v>11</v>
      </c>
      <c r="J13" s="10" t="s">
        <v>169</v>
      </c>
    </row>
    <row r="14" spans="1:10" x14ac:dyDescent="0.2">
      <c r="A14" s="11"/>
      <c r="B14" s="11"/>
      <c r="C14" s="11"/>
      <c r="D14" s="11"/>
      <c r="E14" s="11"/>
      <c r="F14" s="11"/>
      <c r="G14" s="11"/>
      <c r="H14" s="11"/>
      <c r="I14" s="10">
        <v>12</v>
      </c>
      <c r="J14" s="10" t="s">
        <v>82</v>
      </c>
    </row>
    <row r="15" spans="1:10" x14ac:dyDescent="0.2">
      <c r="A15" s="11"/>
      <c r="B15" s="11"/>
      <c r="C15" s="11"/>
      <c r="D15" s="11"/>
      <c r="E15" s="11"/>
      <c r="F15" s="11"/>
      <c r="G15" s="11"/>
      <c r="H15" s="11"/>
      <c r="I15" s="10">
        <v>13</v>
      </c>
      <c r="J15" s="10" t="s">
        <v>170</v>
      </c>
    </row>
    <row r="16" spans="1:10" x14ac:dyDescent="0.2">
      <c r="A16" s="11"/>
      <c r="B16" s="11"/>
      <c r="C16" s="11"/>
      <c r="D16" s="11"/>
      <c r="E16" s="11"/>
      <c r="F16" s="11"/>
      <c r="G16" s="11"/>
      <c r="H16" s="11"/>
      <c r="I16" s="10">
        <v>14</v>
      </c>
      <c r="J16" s="10" t="s">
        <v>83</v>
      </c>
    </row>
    <row r="17" spans="1:10" x14ac:dyDescent="0.2">
      <c r="A17" s="11"/>
      <c r="B17" s="11"/>
      <c r="C17" s="11"/>
      <c r="D17" s="11"/>
      <c r="E17" s="11"/>
      <c r="F17" s="11"/>
      <c r="G17" s="11"/>
      <c r="H17" s="11"/>
      <c r="I17" s="10">
        <v>15</v>
      </c>
      <c r="J17" s="10"/>
    </row>
    <row r="18" spans="1:10" x14ac:dyDescent="0.2">
      <c r="A18" s="11"/>
      <c r="B18" s="11"/>
      <c r="C18" s="11"/>
      <c r="D18" s="11"/>
      <c r="E18" s="11"/>
      <c r="F18" s="11"/>
      <c r="G18" s="11"/>
      <c r="H18" s="11"/>
      <c r="I18" s="10">
        <v>16</v>
      </c>
      <c r="J18" s="10" t="s">
        <v>84</v>
      </c>
    </row>
    <row r="19" spans="1:10" x14ac:dyDescent="0.2">
      <c r="A19" s="11"/>
      <c r="B19" s="11"/>
      <c r="C19" s="11"/>
      <c r="D19" s="11"/>
      <c r="E19" s="11"/>
      <c r="F19" s="11"/>
      <c r="G19" s="11"/>
      <c r="H19" s="11"/>
      <c r="I19" s="10">
        <v>17</v>
      </c>
      <c r="J19" s="10" t="s">
        <v>138</v>
      </c>
    </row>
    <row r="20" spans="1:10" x14ac:dyDescent="0.2">
      <c r="A20" s="11"/>
      <c r="B20" s="11"/>
      <c r="C20" s="11"/>
      <c r="D20" s="11"/>
      <c r="E20" s="11"/>
      <c r="F20" s="11"/>
      <c r="G20" s="11"/>
      <c r="H20" s="11"/>
      <c r="I20" s="10">
        <v>18</v>
      </c>
      <c r="J20" s="10" t="s">
        <v>85</v>
      </c>
    </row>
    <row r="21" spans="1:10" x14ac:dyDescent="0.2">
      <c r="A21" s="11"/>
      <c r="B21" s="11"/>
      <c r="C21" s="11"/>
      <c r="D21" s="11"/>
      <c r="E21" s="11"/>
      <c r="F21" s="11"/>
      <c r="G21" s="11"/>
      <c r="H21" s="11"/>
      <c r="I21" s="10">
        <v>19</v>
      </c>
      <c r="J21" s="10" t="s">
        <v>139</v>
      </c>
    </row>
    <row r="22" spans="1:10" x14ac:dyDescent="0.2">
      <c r="A22" s="11"/>
      <c r="B22" s="11"/>
      <c r="C22" s="11"/>
      <c r="D22" s="11"/>
      <c r="E22" s="11"/>
      <c r="F22" s="11"/>
      <c r="G22" s="11"/>
      <c r="H22" s="11"/>
      <c r="I22" s="10">
        <v>20</v>
      </c>
      <c r="J22" s="10" t="s">
        <v>86</v>
      </c>
    </row>
    <row r="23" spans="1:10" x14ac:dyDescent="0.2">
      <c r="A23" s="11"/>
      <c r="B23" s="11"/>
      <c r="C23" s="11"/>
      <c r="D23" s="11"/>
      <c r="E23" s="11"/>
      <c r="F23" s="11"/>
      <c r="G23" s="11"/>
      <c r="H23" s="11"/>
      <c r="I23" s="10">
        <v>21</v>
      </c>
      <c r="J23" s="10" t="s">
        <v>140</v>
      </c>
    </row>
    <row r="24" spans="1:10" x14ac:dyDescent="0.2">
      <c r="A24" s="11"/>
      <c r="B24" s="11"/>
      <c r="C24" s="11"/>
      <c r="D24" s="11"/>
      <c r="E24" s="11"/>
      <c r="F24" s="11"/>
      <c r="G24" s="11"/>
      <c r="H24" s="11"/>
      <c r="I24" s="10">
        <v>22</v>
      </c>
      <c r="J24" s="10" t="s">
        <v>87</v>
      </c>
    </row>
    <row r="25" spans="1:10" x14ac:dyDescent="0.2">
      <c r="A25" s="11"/>
      <c r="B25" s="11"/>
      <c r="C25" s="11"/>
      <c r="D25" s="11"/>
      <c r="E25" s="11"/>
      <c r="F25" s="11"/>
      <c r="G25" s="11"/>
      <c r="H25" s="11"/>
      <c r="I25" s="10">
        <v>23</v>
      </c>
      <c r="J25" s="10"/>
    </row>
    <row r="26" spans="1:10" x14ac:dyDescent="0.2">
      <c r="A26" s="11"/>
      <c r="B26" s="11"/>
      <c r="C26" s="11"/>
      <c r="D26" s="11"/>
      <c r="E26" s="11"/>
      <c r="F26" s="11"/>
      <c r="G26" s="11"/>
      <c r="H26" s="11"/>
      <c r="I26" s="10">
        <v>24</v>
      </c>
      <c r="J26" s="10"/>
    </row>
  </sheetData>
  <mergeCells count="1">
    <mergeCell ref="A2:H26"/>
  </mergeCells>
  <printOptions horizontalCentered="1" verticalCentered="1"/>
  <pageMargins left="0.25" right="0.25"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C1"/>
  <sheetViews>
    <sheetView workbookViewId="0">
      <selection activeCell="B49" sqref="B49"/>
    </sheetView>
  </sheetViews>
  <sheetFormatPr baseColWidth="10" defaultColWidth="8.83203125" defaultRowHeight="15" x14ac:dyDescent="0.2"/>
  <cols>
    <col min="1" max="1" width="25.33203125" bestFit="1" customWidth="1"/>
    <col min="2" max="2" width="106" bestFit="1" customWidth="1"/>
  </cols>
  <sheetData>
    <row r="1" spans="1:3" x14ac:dyDescent="0.2">
      <c r="A1" t="s">
        <v>3</v>
      </c>
      <c r="B1" t="s">
        <v>4</v>
      </c>
      <c r="C1" t="s">
        <v>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M8"/>
  <sheetViews>
    <sheetView workbookViewId="0">
      <selection activeCell="S28" sqref="S28"/>
    </sheetView>
  </sheetViews>
  <sheetFormatPr baseColWidth="10" defaultColWidth="8.83203125" defaultRowHeight="15" x14ac:dyDescent="0.2"/>
  <cols>
    <col min="4" max="4" width="9.6640625" bestFit="1" customWidth="1"/>
    <col min="5" max="6" width="9.6640625" customWidth="1"/>
  </cols>
  <sheetData>
    <row r="1" spans="1:13" x14ac:dyDescent="0.2">
      <c r="B1" s="12" t="s">
        <v>8</v>
      </c>
      <c r="C1" s="12"/>
      <c r="D1" s="12"/>
      <c r="E1" s="1"/>
      <c r="F1" s="1"/>
      <c r="G1" s="12" t="s">
        <v>9</v>
      </c>
      <c r="H1" s="12"/>
      <c r="I1" s="1"/>
      <c r="J1" s="1"/>
      <c r="K1" s="12" t="s">
        <v>10</v>
      </c>
      <c r="L1" s="12"/>
      <c r="M1" s="2"/>
    </row>
    <row r="2" spans="1:13" x14ac:dyDescent="0.2">
      <c r="A2" t="s">
        <v>11</v>
      </c>
      <c r="B2" t="s">
        <v>5</v>
      </c>
      <c r="C2" t="s">
        <v>6</v>
      </c>
      <c r="D2" t="s">
        <v>7</v>
      </c>
      <c r="F2" t="s">
        <v>11</v>
      </c>
      <c r="G2" t="s">
        <v>5</v>
      </c>
      <c r="H2" t="s">
        <v>6</v>
      </c>
      <c r="J2" t="s">
        <v>11</v>
      </c>
      <c r="K2" t="s">
        <v>5</v>
      </c>
      <c r="L2" t="s">
        <v>6</v>
      </c>
    </row>
    <row r="3" spans="1:13" x14ac:dyDescent="0.2">
      <c r="A3">
        <v>0</v>
      </c>
      <c r="B3">
        <f>(A3/1000)*250</f>
        <v>0</v>
      </c>
      <c r="C3">
        <v>0</v>
      </c>
      <c r="D3">
        <v>0</v>
      </c>
      <c r="F3">
        <v>0</v>
      </c>
      <c r="G3">
        <f>(F3/1000)*250</f>
        <v>0</v>
      </c>
      <c r="H3">
        <v>0</v>
      </c>
      <c r="J3">
        <v>0</v>
      </c>
      <c r="K3">
        <f>J3/1000*250</f>
        <v>0</v>
      </c>
      <c r="L3">
        <v>0</v>
      </c>
    </row>
    <row r="4" spans="1:13" x14ac:dyDescent="0.2">
      <c r="A4">
        <v>4</v>
      </c>
      <c r="B4">
        <f t="shared" ref="B4:B8" si="0">(A4/1000)*250</f>
        <v>1</v>
      </c>
      <c r="C4">
        <v>1</v>
      </c>
      <c r="D4">
        <v>10000</v>
      </c>
      <c r="F4">
        <v>4</v>
      </c>
      <c r="G4">
        <f t="shared" ref="G4:G8" si="1">(F4/1000)*250</f>
        <v>1</v>
      </c>
      <c r="H4">
        <v>5</v>
      </c>
      <c r="J4">
        <v>4</v>
      </c>
      <c r="K4">
        <f t="shared" ref="K4:K8" si="2">J4/1000*250</f>
        <v>1</v>
      </c>
      <c r="L4">
        <v>5</v>
      </c>
    </row>
    <row r="5" spans="1:13" x14ac:dyDescent="0.2">
      <c r="A5">
        <v>8</v>
      </c>
      <c r="B5">
        <f t="shared" si="0"/>
        <v>2</v>
      </c>
      <c r="C5">
        <v>2</v>
      </c>
      <c r="D5">
        <v>20000</v>
      </c>
      <c r="F5">
        <v>8</v>
      </c>
      <c r="G5">
        <f t="shared" si="1"/>
        <v>2</v>
      </c>
      <c r="H5">
        <v>10</v>
      </c>
      <c r="J5">
        <v>8</v>
      </c>
      <c r="K5">
        <f t="shared" si="2"/>
        <v>2</v>
      </c>
      <c r="L5">
        <v>10</v>
      </c>
    </row>
    <row r="6" spans="1:13" x14ac:dyDescent="0.2">
      <c r="A6">
        <v>12</v>
      </c>
      <c r="B6">
        <f t="shared" si="0"/>
        <v>3</v>
      </c>
      <c r="C6">
        <v>3</v>
      </c>
      <c r="D6">
        <v>30000</v>
      </c>
      <c r="F6">
        <v>12</v>
      </c>
      <c r="G6">
        <f t="shared" si="1"/>
        <v>3</v>
      </c>
      <c r="H6">
        <v>15</v>
      </c>
      <c r="J6">
        <v>12</v>
      </c>
      <c r="K6">
        <f t="shared" si="2"/>
        <v>3</v>
      </c>
      <c r="L6">
        <v>15</v>
      </c>
    </row>
    <row r="7" spans="1:13" x14ac:dyDescent="0.2">
      <c r="A7">
        <v>16</v>
      </c>
      <c r="B7">
        <f t="shared" si="0"/>
        <v>4</v>
      </c>
      <c r="C7">
        <v>4</v>
      </c>
      <c r="D7">
        <v>40000</v>
      </c>
      <c r="F7">
        <v>16</v>
      </c>
      <c r="G7">
        <f t="shared" si="1"/>
        <v>4</v>
      </c>
      <c r="H7">
        <v>20</v>
      </c>
      <c r="J7">
        <v>16</v>
      </c>
      <c r="K7">
        <f t="shared" si="2"/>
        <v>4</v>
      </c>
      <c r="L7">
        <v>20</v>
      </c>
    </row>
    <row r="8" spans="1:13" x14ac:dyDescent="0.2">
      <c r="A8">
        <v>20</v>
      </c>
      <c r="B8">
        <f t="shared" si="0"/>
        <v>5</v>
      </c>
      <c r="C8">
        <v>5</v>
      </c>
      <c r="D8">
        <v>50000</v>
      </c>
      <c r="F8">
        <v>20</v>
      </c>
      <c r="G8">
        <f t="shared" si="1"/>
        <v>5</v>
      </c>
      <c r="H8">
        <v>25</v>
      </c>
      <c r="J8">
        <v>20</v>
      </c>
      <c r="K8">
        <f t="shared" si="2"/>
        <v>5</v>
      </c>
      <c r="L8">
        <v>25</v>
      </c>
    </row>
  </sheetData>
  <mergeCells count="3">
    <mergeCell ref="B1:D1"/>
    <mergeCell ref="G1:H1"/>
    <mergeCell ref="K1:L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H12"/>
  <sheetViews>
    <sheetView workbookViewId="0">
      <selection activeCell="F16" sqref="F16"/>
    </sheetView>
  </sheetViews>
  <sheetFormatPr baseColWidth="10" defaultColWidth="8.83203125" defaultRowHeight="15" x14ac:dyDescent="0.2"/>
  <cols>
    <col min="1" max="1" width="16.1640625" bestFit="1" customWidth="1"/>
    <col min="2" max="2" width="18.83203125" bestFit="1" customWidth="1"/>
    <col min="4" max="4" width="12.83203125" bestFit="1" customWidth="1"/>
    <col min="5" max="5" width="11.6640625" bestFit="1" customWidth="1"/>
    <col min="6" max="6" width="14.6640625" bestFit="1" customWidth="1"/>
    <col min="7" max="7" width="9.6640625" bestFit="1" customWidth="1"/>
    <col min="8" max="8" width="11.6640625" bestFit="1" customWidth="1"/>
  </cols>
  <sheetData>
    <row r="1" spans="1:8" x14ac:dyDescent="0.2">
      <c r="A1" t="s">
        <v>17</v>
      </c>
      <c r="C1" t="s">
        <v>13</v>
      </c>
      <c r="D1" t="s">
        <v>18</v>
      </c>
      <c r="E1" t="s">
        <v>19</v>
      </c>
      <c r="F1" t="s">
        <v>38</v>
      </c>
      <c r="G1" t="s">
        <v>40</v>
      </c>
      <c r="H1" t="s">
        <v>41</v>
      </c>
    </row>
    <row r="2" spans="1:8" x14ac:dyDescent="0.2">
      <c r="A2" t="s">
        <v>15</v>
      </c>
      <c r="B2" t="s">
        <v>34</v>
      </c>
      <c r="C2" t="s">
        <v>36</v>
      </c>
      <c r="D2" s="6" t="s">
        <v>49</v>
      </c>
      <c r="E2" s="6" t="s">
        <v>150</v>
      </c>
      <c r="F2" t="s">
        <v>155</v>
      </c>
      <c r="G2" s="6" t="s">
        <v>46</v>
      </c>
      <c r="H2" s="6" t="s">
        <v>152</v>
      </c>
    </row>
    <row r="3" spans="1:8" x14ac:dyDescent="0.2">
      <c r="A3" t="s">
        <v>151</v>
      </c>
      <c r="B3" t="s">
        <v>35</v>
      </c>
      <c r="C3" t="s">
        <v>37</v>
      </c>
      <c r="D3" s="6" t="s">
        <v>42</v>
      </c>
      <c r="E3" s="6" t="s">
        <v>44</v>
      </c>
      <c r="F3" t="s">
        <v>155</v>
      </c>
      <c r="G3" s="6" t="s">
        <v>47</v>
      </c>
      <c r="H3" s="6" t="s">
        <v>48</v>
      </c>
    </row>
    <row r="4" spans="1:8" x14ac:dyDescent="0.2">
      <c r="A4" t="s">
        <v>16</v>
      </c>
      <c r="B4" t="s">
        <v>35</v>
      </c>
      <c r="C4" t="s">
        <v>37</v>
      </c>
      <c r="D4" s="6" t="s">
        <v>43</v>
      </c>
      <c r="E4" s="6" t="s">
        <v>45</v>
      </c>
      <c r="F4" t="s">
        <v>155</v>
      </c>
      <c r="G4" s="6" t="s">
        <v>156</v>
      </c>
      <c r="H4" s="6" t="s">
        <v>164</v>
      </c>
    </row>
    <row r="5" spans="1:8" x14ac:dyDescent="0.2">
      <c r="A5" t="s">
        <v>33</v>
      </c>
      <c r="B5" t="s">
        <v>35</v>
      </c>
      <c r="C5" t="s">
        <v>37</v>
      </c>
      <c r="D5" s="6" t="s">
        <v>43</v>
      </c>
      <c r="E5" s="6" t="s">
        <v>45</v>
      </c>
      <c r="F5" t="s">
        <v>39</v>
      </c>
      <c r="G5" s="6" t="s">
        <v>156</v>
      </c>
      <c r="H5" s="6" t="s">
        <v>164</v>
      </c>
    </row>
    <row r="6" spans="1:8" x14ac:dyDescent="0.2">
      <c r="A6" t="s">
        <v>129</v>
      </c>
      <c r="B6" t="s">
        <v>35</v>
      </c>
      <c r="C6" t="s">
        <v>37</v>
      </c>
      <c r="D6" s="6" t="s">
        <v>43</v>
      </c>
      <c r="E6" s="6" t="s">
        <v>45</v>
      </c>
      <c r="F6" t="s">
        <v>155</v>
      </c>
      <c r="G6" s="6" t="s">
        <v>156</v>
      </c>
      <c r="H6" s="6" t="s">
        <v>164</v>
      </c>
    </row>
    <row r="7" spans="1:8" x14ac:dyDescent="0.2">
      <c r="A7" t="s">
        <v>130</v>
      </c>
      <c r="B7" t="s">
        <v>35</v>
      </c>
      <c r="C7" t="s">
        <v>37</v>
      </c>
      <c r="D7" s="6" t="s">
        <v>43</v>
      </c>
      <c r="E7" s="6" t="s">
        <v>45</v>
      </c>
      <c r="F7" t="s">
        <v>155</v>
      </c>
      <c r="G7" s="6" t="s">
        <v>156</v>
      </c>
      <c r="H7" s="6" t="s">
        <v>164</v>
      </c>
    </row>
    <row r="8" spans="1:8" x14ac:dyDescent="0.2">
      <c r="A8" t="s">
        <v>159</v>
      </c>
      <c r="B8" t="s">
        <v>35</v>
      </c>
      <c r="C8" t="s">
        <v>37</v>
      </c>
      <c r="D8" s="6" t="s">
        <v>162</v>
      </c>
      <c r="E8" s="6" t="s">
        <v>163</v>
      </c>
      <c r="F8" t="s">
        <v>155</v>
      </c>
      <c r="G8" s="6" t="s">
        <v>160</v>
      </c>
      <c r="H8" s="6" t="s">
        <v>161</v>
      </c>
    </row>
    <row r="10" spans="1:8" x14ac:dyDescent="0.2">
      <c r="A10" t="s">
        <v>12</v>
      </c>
    </row>
    <row r="11" spans="1:8" x14ac:dyDescent="0.2">
      <c r="A11" t="s">
        <v>39</v>
      </c>
    </row>
    <row r="12" spans="1:8" x14ac:dyDescent="0.2">
      <c r="A12" t="s">
        <v>155</v>
      </c>
    </row>
  </sheetData>
  <dataValidations count="1">
    <dataValidation type="list" allowBlank="1" showInputMessage="1" showErrorMessage="1" sqref="F2:F8">
      <formula1>$A$10:$A$12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Channel Cfg Maker</vt:lpstr>
      <vt:lpstr>Sheet1</vt:lpstr>
      <vt:lpstr>Prop_A_Channels</vt:lpstr>
      <vt:lpstr>Mod 5</vt:lpstr>
      <vt:lpstr>Mod 6</vt:lpstr>
      <vt:lpstr>Mod 7</vt:lpstr>
      <vt:lpstr>Mod 8</vt:lpstr>
      <vt:lpstr>Mod 9</vt:lpstr>
      <vt:lpstr>Mod 10</vt:lpstr>
      <vt:lpstr>Mod 11</vt:lpstr>
      <vt:lpstr>Mod 12</vt:lpstr>
      <vt:lpstr>Extension 1</vt:lpstr>
      <vt:lpstr>Calculated Channels</vt:lpstr>
      <vt:lpstr>Calculation for Gas Analzers</vt:lpstr>
      <vt:lpstr>Channel Functions</vt:lpstr>
    </vt:vector>
  </TitlesOfParts>
  <Company>Underwriters Laboratories (UL)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Zevotek, Robin</dc:creator>
  <cp:lastModifiedBy>Microsoft Office User</cp:lastModifiedBy>
  <cp:lastPrinted>2016-02-23T14:00:34Z</cp:lastPrinted>
  <dcterms:created xsi:type="dcterms:W3CDTF">2015-04-13T21:08:14Z</dcterms:created>
  <dcterms:modified xsi:type="dcterms:W3CDTF">2017-03-12T16:58:39Z</dcterms:modified>
</cp:coreProperties>
</file>